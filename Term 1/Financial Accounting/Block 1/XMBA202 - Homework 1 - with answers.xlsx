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8" documentId="11_0ED97296C6EA9C5C89F8874E9FD8371B6B28C310" xr6:coauthVersionLast="47" xr6:coauthVersionMax="47" xr10:uidLastSave="{FC173E7F-7509-46CE-8427-F3DBCC57FA26}"/>
  <bookViews>
    <workbookView xWindow="-96" yWindow="-96" windowWidth="23232" windowHeight="13872" xr2:uid="{00000000-000D-0000-FFFF-FFFF00000000}"/>
  </bookViews>
  <sheets>
    <sheet name="Balance sheet" sheetId="1" r:id="rId1"/>
    <sheet name="Income Statement" sheetId="2" r:id="rId2"/>
    <sheet name="CF statem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15" i="2" l="1"/>
  <c r="C12" i="2" s="1"/>
  <c r="C14" i="2" s="1"/>
  <c r="C11" i="2" l="1"/>
  <c r="C4" i="3"/>
  <c r="C6" i="3" s="1"/>
  <c r="C12" i="3" l="1"/>
  <c r="C15" i="3" s="1"/>
  <c r="C4" i="1" s="1"/>
  <c r="C8" i="1" s="1"/>
  <c r="C17" i="1" s="1"/>
  <c r="C15" i="1" s="1"/>
  <c r="C16" i="1"/>
  <c r="C18" i="1" s="1"/>
  <c r="C5" i="2" l="1"/>
  <c r="C6" i="2" s="1"/>
  <c r="C8" i="2" s="1"/>
  <c r="C19" i="1"/>
  <c r="C22" i="1" s="1"/>
  <c r="C13" i="1" s="1"/>
  <c r="C12" i="1"/>
  <c r="C11" i="1" s="1"/>
  <c r="C24" i="1"/>
</calcChain>
</file>

<file path=xl/sharedStrings.xml><?xml version="1.0" encoding="utf-8"?>
<sst xmlns="http://schemas.openxmlformats.org/spreadsheetml/2006/main" count="38" uniqueCount="38">
  <si>
    <t>Cash flow statement</t>
  </si>
  <si>
    <t xml:space="preserve">Net Income </t>
  </si>
  <si>
    <t>Cash flow from operations</t>
  </si>
  <si>
    <t xml:space="preserve">Cash flow from investing </t>
  </si>
  <si>
    <t xml:space="preserve">Cash flow from financing </t>
  </si>
  <si>
    <t xml:space="preserve">Net change in cash </t>
  </si>
  <si>
    <t xml:space="preserve">Beginning cash </t>
  </si>
  <si>
    <t xml:space="preserve">Ending cash </t>
  </si>
  <si>
    <t xml:space="preserve">Balance sheet </t>
  </si>
  <si>
    <t xml:space="preserve">Cash </t>
  </si>
  <si>
    <t xml:space="preserve">AR </t>
  </si>
  <si>
    <t xml:space="preserve">Inventory </t>
  </si>
  <si>
    <t xml:space="preserve">Total current assets </t>
  </si>
  <si>
    <t xml:space="preserve">PPE net </t>
  </si>
  <si>
    <t xml:space="preserve">Long-term investments </t>
  </si>
  <si>
    <t xml:space="preserve">Total assets </t>
  </si>
  <si>
    <t>Prepaid expenses</t>
  </si>
  <si>
    <t xml:space="preserve">Total long-term assets </t>
  </si>
  <si>
    <t xml:space="preserve">Accounts payable </t>
  </si>
  <si>
    <t xml:space="preserve">Total current liabilities </t>
  </si>
  <si>
    <t>Short-term debt</t>
  </si>
  <si>
    <t>Long-term debt</t>
  </si>
  <si>
    <t xml:space="preserve">Total liabilities </t>
  </si>
  <si>
    <t xml:space="preserve">Common stock </t>
  </si>
  <si>
    <t xml:space="preserve">Income statement </t>
  </si>
  <si>
    <t xml:space="preserve">Revenue </t>
  </si>
  <si>
    <t xml:space="preserve">Cost of revenue </t>
  </si>
  <si>
    <t xml:space="preserve">Gross profit </t>
  </si>
  <si>
    <t>Operating expenses</t>
  </si>
  <si>
    <t xml:space="preserve">Operating income </t>
  </si>
  <si>
    <t xml:space="preserve">RE </t>
  </si>
  <si>
    <t xml:space="preserve">Non-operating expenses </t>
  </si>
  <si>
    <t xml:space="preserve">Pre-tax income </t>
  </si>
  <si>
    <t xml:space="preserve">Income taxes </t>
  </si>
  <si>
    <t xml:space="preserve">Net income </t>
  </si>
  <si>
    <t xml:space="preserve">Total liabilities and equity </t>
  </si>
  <si>
    <t>Check BS</t>
  </si>
  <si>
    <t>Adjustments to the 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</si>
</sst>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C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/>
    <xf numFmtId="164" fontId="1" fillId="0" borderId="1" xfId="0" applyNumberFormat="1" applyFont="1" applyBorder="1"/>
    <xf numFmtId="0" fontId="1" fillId="0" borderId="2" xfId="0" applyFont="1" applyBorder="1"/>
    <xf numFmtId="164" fontId="1" fillId="0" borderId="2" xfId="0" applyNumberFormat="1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4"/>
  <sheetViews>
    <sheetView tabSelected="1" workbookViewId="0">
      <selection activeCell="F8" sqref="F8"/>
    </sheetView>
  </sheetViews>
  <sheetFormatPr defaultRowHeight="13.8" x14ac:dyDescent="0.45"/>
  <cols>
    <col min="1" max="1" width="5.26171875" style="1" customWidth="1"/>
    <col min="2" max="2" width="26.68359375" style="1" bestFit="1" customWidth="1"/>
    <col min="3" max="16384" width="8.83984375" style="1"/>
  </cols>
  <sheetData>
    <row r="2" spans="2:3" ht="14.1" x14ac:dyDescent="0.5">
      <c r="B2" s="7" t="s">
        <v>8</v>
      </c>
    </row>
    <row r="4" spans="2:3" x14ac:dyDescent="0.45">
      <c r="B4" s="1" t="s">
        <v>9</v>
      </c>
      <c r="C4" s="2">
        <f>'CF statement'!C15</f>
        <v>2000</v>
      </c>
    </row>
    <row r="5" spans="2:3" x14ac:dyDescent="0.45">
      <c r="B5" s="1" t="s">
        <v>10</v>
      </c>
      <c r="C5" s="2">
        <v>1500</v>
      </c>
    </row>
    <row r="6" spans="2:3" x14ac:dyDescent="0.45">
      <c r="B6" s="1" t="s">
        <v>11</v>
      </c>
      <c r="C6" s="2">
        <v>2000</v>
      </c>
    </row>
    <row r="7" spans="2:3" x14ac:dyDescent="0.45">
      <c r="B7" s="3" t="s">
        <v>16</v>
      </c>
      <c r="C7" s="4">
        <v>1200</v>
      </c>
    </row>
    <row r="8" spans="2:3" x14ac:dyDescent="0.45">
      <c r="B8" s="1" t="s">
        <v>12</v>
      </c>
      <c r="C8" s="2">
        <f>SUM(C4:C7)</f>
        <v>6700</v>
      </c>
    </row>
    <row r="9" spans="2:3" x14ac:dyDescent="0.45">
      <c r="C9" s="2"/>
    </row>
    <row r="10" spans="2:3" x14ac:dyDescent="0.45">
      <c r="B10" s="1" t="s">
        <v>13</v>
      </c>
      <c r="C10" s="2">
        <v>10000</v>
      </c>
    </row>
    <row r="11" spans="2:3" x14ac:dyDescent="0.45">
      <c r="B11" s="3" t="s">
        <v>14</v>
      </c>
      <c r="C11" s="4">
        <f>C12-C10</f>
        <v>8283.3333333333358</v>
      </c>
    </row>
    <row r="12" spans="2:3" x14ac:dyDescent="0.45">
      <c r="B12" s="5" t="s">
        <v>17</v>
      </c>
      <c r="C12" s="6">
        <f>C13-C8</f>
        <v>18283.333333333336</v>
      </c>
    </row>
    <row r="13" spans="2:3" x14ac:dyDescent="0.45">
      <c r="B13" s="1" t="s">
        <v>15</v>
      </c>
      <c r="C13" s="2">
        <f>C22</f>
        <v>24983.333333333336</v>
      </c>
    </row>
    <row r="14" spans="2:3" x14ac:dyDescent="0.45">
      <c r="C14" s="2"/>
    </row>
    <row r="15" spans="2:3" x14ac:dyDescent="0.45">
      <c r="B15" s="1" t="s">
        <v>18</v>
      </c>
      <c r="C15" s="2">
        <f>C17-C16</f>
        <v>1983.3333333333339</v>
      </c>
    </row>
    <row r="16" spans="2:3" x14ac:dyDescent="0.45">
      <c r="B16" s="1" t="s">
        <v>20</v>
      </c>
      <c r="C16" s="2">
        <f>'CF statement'!C6*2</f>
        <v>3600</v>
      </c>
    </row>
    <row r="17" spans="2:3" x14ac:dyDescent="0.45">
      <c r="B17" s="1" t="s">
        <v>19</v>
      </c>
      <c r="C17" s="2">
        <f>C8/1.2</f>
        <v>5583.3333333333339</v>
      </c>
    </row>
    <row r="18" spans="2:3" x14ac:dyDescent="0.45">
      <c r="B18" s="3" t="s">
        <v>21</v>
      </c>
      <c r="C18" s="4">
        <f>C20-C16</f>
        <v>6400</v>
      </c>
    </row>
    <row r="19" spans="2:3" x14ac:dyDescent="0.45">
      <c r="B19" s="1" t="s">
        <v>22</v>
      </c>
      <c r="C19" s="2">
        <f>C17+C18</f>
        <v>11983.333333333334</v>
      </c>
    </row>
    <row r="20" spans="2:3" x14ac:dyDescent="0.45">
      <c r="B20" s="1" t="s">
        <v>23</v>
      </c>
      <c r="C20" s="2">
        <v>10000</v>
      </c>
    </row>
    <row r="21" spans="2:3" x14ac:dyDescent="0.45">
      <c r="B21" s="3" t="s">
        <v>30</v>
      </c>
      <c r="C21" s="4">
        <v>3000</v>
      </c>
    </row>
    <row r="22" spans="2:3" x14ac:dyDescent="0.45">
      <c r="B22" s="1" t="s">
        <v>35</v>
      </c>
      <c r="C22" s="2">
        <f>C21+C19+C20</f>
        <v>24983.333333333336</v>
      </c>
    </row>
    <row r="24" spans="2:3" x14ac:dyDescent="0.45">
      <c r="B24" s="1" t="s">
        <v>36</v>
      </c>
      <c r="C24" s="2">
        <f>C13-C22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5"/>
  <sheetViews>
    <sheetView workbookViewId="0">
      <selection activeCell="C5" sqref="C5"/>
    </sheetView>
  </sheetViews>
  <sheetFormatPr defaultRowHeight="13.8" x14ac:dyDescent="0.45"/>
  <cols>
    <col min="1" max="1" width="5.68359375" style="1" customWidth="1"/>
    <col min="2" max="2" width="23.68359375" style="1" bestFit="1" customWidth="1"/>
    <col min="3" max="16384" width="8.83984375" style="1"/>
  </cols>
  <sheetData>
    <row r="2" spans="2:5" ht="14.1" x14ac:dyDescent="0.5">
      <c r="B2" s="7" t="s">
        <v>24</v>
      </c>
    </row>
    <row r="4" spans="2:5" x14ac:dyDescent="0.45">
      <c r="B4" s="1" t="s">
        <v>25</v>
      </c>
      <c r="C4" s="2">
        <v>15000</v>
      </c>
    </row>
    <row r="5" spans="2:5" x14ac:dyDescent="0.45">
      <c r="B5" s="3" t="s">
        <v>26</v>
      </c>
      <c r="C5" s="4">
        <f>5*'Balance sheet'!C15</f>
        <v>9916.6666666666697</v>
      </c>
    </row>
    <row r="6" spans="2:5" x14ac:dyDescent="0.45">
      <c r="B6" s="1" t="s">
        <v>27</v>
      </c>
      <c r="C6" s="2">
        <f>C4-C5</f>
        <v>5083.3333333333303</v>
      </c>
      <c r="E6" s="2"/>
    </row>
    <row r="7" spans="2:5" x14ac:dyDescent="0.45">
      <c r="C7" s="2"/>
      <c r="E7" s="2"/>
    </row>
    <row r="8" spans="2:5" x14ac:dyDescent="0.45">
      <c r="B8" s="3" t="s">
        <v>28</v>
      </c>
      <c r="C8" s="4">
        <f>C6-C9</f>
        <v>2833.3333333333303</v>
      </c>
    </row>
    <row r="9" spans="2:5" x14ac:dyDescent="0.45">
      <c r="B9" s="1" t="s">
        <v>29</v>
      </c>
      <c r="C9" s="2">
        <f>0.15*C4</f>
        <v>2250</v>
      </c>
      <c r="E9" s="2"/>
    </row>
    <row r="10" spans="2:5" x14ac:dyDescent="0.45">
      <c r="C10" s="2"/>
    </row>
    <row r="11" spans="2:5" x14ac:dyDescent="0.45">
      <c r="B11" s="3" t="s">
        <v>31</v>
      </c>
      <c r="C11" s="4">
        <f>C9-C12</f>
        <v>351.26582278481033</v>
      </c>
    </row>
    <row r="12" spans="2:5" x14ac:dyDescent="0.45">
      <c r="B12" s="1" t="s">
        <v>32</v>
      </c>
      <c r="C12" s="2">
        <f>C15/(1-0.21)</f>
        <v>1898.7341772151897</v>
      </c>
    </row>
    <row r="13" spans="2:5" x14ac:dyDescent="0.45">
      <c r="C13" s="2"/>
    </row>
    <row r="14" spans="2:5" x14ac:dyDescent="0.45">
      <c r="B14" s="3" t="s">
        <v>33</v>
      </c>
      <c r="C14" s="4">
        <f>C12-C15</f>
        <v>398.73417721518967</v>
      </c>
    </row>
    <row r="15" spans="2:5" x14ac:dyDescent="0.45">
      <c r="B15" s="1" t="s">
        <v>34</v>
      </c>
      <c r="C15" s="2">
        <f>'Balance sheet'!C21-2000+500</f>
        <v>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5"/>
  <sheetViews>
    <sheetView workbookViewId="0"/>
  </sheetViews>
  <sheetFormatPr defaultRowHeight="13.8" x14ac:dyDescent="0.45"/>
  <cols>
    <col min="1" max="1" width="4" style="1" customWidth="1"/>
    <col min="2" max="2" width="29" style="1" bestFit="1" customWidth="1"/>
    <col min="3" max="16384" width="8.83984375" style="1"/>
  </cols>
  <sheetData>
    <row r="2" spans="2:3" ht="14.1" x14ac:dyDescent="0.5">
      <c r="B2" s="7" t="s">
        <v>0</v>
      </c>
    </row>
    <row r="4" spans="2:3" x14ac:dyDescent="0.45">
      <c r="B4" s="1" t="s">
        <v>1</v>
      </c>
      <c r="C4" s="2">
        <f>'Income Statement'!C15</f>
        <v>1500</v>
      </c>
    </row>
    <row r="5" spans="2:3" x14ac:dyDescent="0.45">
      <c r="B5" s="3" t="s">
        <v>37</v>
      </c>
      <c r="C5" s="4">
        <v>300</v>
      </c>
    </row>
    <row r="6" spans="2:3" x14ac:dyDescent="0.45">
      <c r="B6" s="1" t="s">
        <v>2</v>
      </c>
      <c r="C6" s="2">
        <f>SUM(C4:C5)</f>
        <v>1800</v>
      </c>
    </row>
    <row r="7" spans="2:3" x14ac:dyDescent="0.45">
      <c r="C7" s="2"/>
    </row>
    <row r="8" spans="2:3" x14ac:dyDescent="0.45">
      <c r="B8" s="1" t="s">
        <v>3</v>
      </c>
      <c r="C8" s="2">
        <v>0</v>
      </c>
    </row>
    <row r="9" spans="2:3" x14ac:dyDescent="0.45">
      <c r="C9" s="2"/>
    </row>
    <row r="10" spans="2:3" x14ac:dyDescent="0.45">
      <c r="B10" s="1" t="s">
        <v>4</v>
      </c>
      <c r="C10" s="2">
        <v>-500</v>
      </c>
    </row>
    <row r="11" spans="2:3" x14ac:dyDescent="0.45">
      <c r="C11" s="2"/>
    </row>
    <row r="12" spans="2:3" x14ac:dyDescent="0.45">
      <c r="B12" s="1" t="s">
        <v>5</v>
      </c>
      <c r="C12" s="2">
        <f>SUM(C6:C10)</f>
        <v>1300</v>
      </c>
    </row>
    <row r="13" spans="2:3" x14ac:dyDescent="0.45">
      <c r="C13" s="2"/>
    </row>
    <row r="14" spans="2:3" x14ac:dyDescent="0.45">
      <c r="B14" s="1" t="s">
        <v>6</v>
      </c>
      <c r="C14" s="2">
        <v>700</v>
      </c>
    </row>
    <row r="15" spans="2:3" x14ac:dyDescent="0.45">
      <c r="B15" s="1" t="s">
        <v>7</v>
      </c>
      <c r="C15" s="2">
        <f>C12+C14</f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Income Statement</vt:lpstr>
      <vt:lpstr>CF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2025-09-15T22:30:39Z</dcterms:modified>
</cp:coreProperties>
</file>