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935860719f7b8c5/Desktop/UC Berkeley 2025/EMBA 202/Block 2/"/>
    </mc:Choice>
  </mc:AlternateContent>
  <xr:revisionPtr revIDLastSave="25" documentId="8_{4D5B137B-2D4A-4BC7-B55B-450F5A06BA71}" xr6:coauthVersionLast="47" xr6:coauthVersionMax="47" xr10:uidLastSave="{1EA649A8-E456-4647-BE8B-C473CEA12EA4}"/>
  <bookViews>
    <workbookView xWindow="-96" yWindow="-96" windowWidth="23232" windowHeight="13872" xr2:uid="{00000000-000D-0000-FFFF-FFFF00000000}"/>
  </bookViews>
  <sheets>
    <sheet name="WC days chart" sheetId="3" r:id="rId1"/>
    <sheet name="Balance Sheets" sheetId="7" r:id="rId2"/>
    <sheet name="Income statement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7" l="1"/>
  <c r="C34" i="7"/>
  <c r="C33" i="7"/>
  <c r="C36" i="7" l="1"/>
</calcChain>
</file>

<file path=xl/sharedStrings.xml><?xml version="1.0" encoding="utf-8"?>
<sst xmlns="http://schemas.openxmlformats.org/spreadsheetml/2006/main" count="92" uniqueCount="69">
  <si>
    <t>Total net sales</t>
  </si>
  <si>
    <t>Net service sales</t>
  </si>
  <si>
    <t>Net product sales</t>
  </si>
  <si>
    <t>Diluted (in shares)</t>
  </si>
  <si>
    <t>Basic (in shares)</t>
  </si>
  <si>
    <t>Weighted-average shares used in computation of earnings per share:</t>
  </si>
  <si>
    <t>Diluted earnings per share (in dollars per share)</t>
  </si>
  <si>
    <t>Basic earnings per share (in dollars per share)</t>
  </si>
  <si>
    <t>Equity-method investment activity, net of tax</t>
  </si>
  <si>
    <t>Total non-operating income (expense)</t>
  </si>
  <si>
    <t>Other income (expense), net</t>
  </si>
  <si>
    <t>Interest expense</t>
  </si>
  <si>
    <t>Interest income</t>
  </si>
  <si>
    <t>Operating income</t>
  </si>
  <si>
    <t>Total operating expenses</t>
  </si>
  <si>
    <t>Other operating expense (income), net</t>
  </si>
  <si>
    <t>General and administrative</t>
  </si>
  <si>
    <t>Fulfillment</t>
  </si>
  <si>
    <t>Cost of sales</t>
  </si>
  <si>
    <t>Operating expenses:</t>
  </si>
  <si>
    <t>Total liabilities and stockholders’ equity</t>
  </si>
  <si>
    <t>Total stockholders’ equity</t>
  </si>
  <si>
    <t>Retained earnings</t>
  </si>
  <si>
    <t>Accumulated other comprehensive income (loss)</t>
  </si>
  <si>
    <t>Additional paid-in capital</t>
  </si>
  <si>
    <t>Treasury stock, at cost</t>
  </si>
  <si>
    <t>Stockholders’ equity:</t>
  </si>
  <si>
    <t xml:space="preserve"> </t>
  </si>
  <si>
    <t>Commitments and contingencies (Note 7)</t>
  </si>
  <si>
    <t>Other long-term liabilities</t>
  </si>
  <si>
    <t>Long-term debt</t>
  </si>
  <si>
    <t>Long-term lease liabilities</t>
  </si>
  <si>
    <t>Total current liabilities</t>
  </si>
  <si>
    <t>Unearned revenue</t>
  </si>
  <si>
    <t>Accrued expenses and other</t>
  </si>
  <si>
    <t>Accounts payable</t>
  </si>
  <si>
    <t>Current liabilities:</t>
  </si>
  <si>
    <t>Total assets</t>
  </si>
  <si>
    <t>Other assets</t>
  </si>
  <si>
    <t>Goodwill</t>
  </si>
  <si>
    <t>Operating leases</t>
  </si>
  <si>
    <t>Property and equipment, net</t>
  </si>
  <si>
    <t>Total current assets</t>
  </si>
  <si>
    <t>Accounts receivable, net and other</t>
  </si>
  <si>
    <t>Inventories</t>
  </si>
  <si>
    <t>Marketable securities</t>
  </si>
  <si>
    <t>Cash and cash equivalents</t>
  </si>
  <si>
    <t>Current assets:</t>
  </si>
  <si>
    <t>Consolidated Balance Sheets - USD ($) $ in Millions</t>
  </si>
  <si>
    <t>Cash conversion cycle</t>
  </si>
  <si>
    <t>Days AR</t>
  </si>
  <si>
    <t xml:space="preserve">Days Inventory </t>
  </si>
  <si>
    <t>Days AP</t>
  </si>
  <si>
    <t>Inventory Days</t>
  </si>
  <si>
    <t>Accounts Receivable Days</t>
  </si>
  <si>
    <t>Accounts Payable Days</t>
  </si>
  <si>
    <t>Working capital Days</t>
  </si>
  <si>
    <t> </t>
  </si>
  <si>
    <t>Net income (loss)</t>
  </si>
  <si>
    <t>Benefit (provision) for income taxes</t>
  </si>
  <si>
    <t>Income (loss) before income taxes</t>
  </si>
  <si>
    <t>Sales and marketing</t>
  </si>
  <si>
    <t>Technology and infrastructure</t>
  </si>
  <si>
    <t>Dec. 31, 2022</t>
  </si>
  <si>
    <t>Dec. 31, 2023</t>
  </si>
  <si>
    <t>Consolidated Statements of Operations - USD ($) shares in Millions, $ in Millions</t>
  </si>
  <si>
    <t>Preferred stock ($0.01 par value; 500 shares authorized; no shares issued or outstanding)</t>
  </si>
  <si>
    <t>Dec. 31, 2024</t>
  </si>
  <si>
    <t>Common stock ($0.01 par value; 100,000 shares authorized; 10,898 and 11,108 shares issued; 10,383 and 10,593 shares outstanding)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</si>
</sst>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 &quot;#,##0_);_(&quot;$ &quot;\(#,##0\)"/>
    <numFmt numFmtId="165" formatCode="_(&quot;$ &quot;#,##0.00_);_(&quot;$ &quot;\(#,##0.00\)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2" fillId="0" borderId="0" xfId="0" applyNumberFormat="1" applyFont="1" applyAlignment="1">
      <alignment horizontal="right" vertical="top"/>
    </xf>
    <xf numFmtId="37" fontId="2" fillId="0" borderId="0" xfId="0" applyNumberFormat="1" applyFont="1" applyAlignment="1">
      <alignment horizontal="right" vertical="top"/>
    </xf>
    <xf numFmtId="165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6" borderId="2" xfId="0" applyFont="1" applyFill="1" applyBorder="1" applyAlignment="1">
      <alignment vertical="top" wrapText="1"/>
    </xf>
    <xf numFmtId="0" fontId="1" fillId="6" borderId="3" xfId="0" applyFont="1" applyFill="1" applyBorder="1"/>
    <xf numFmtId="0" fontId="1" fillId="6" borderId="4" xfId="0" applyFont="1" applyFill="1" applyBorder="1"/>
    <xf numFmtId="0" fontId="2" fillId="6" borderId="5" xfId="0" applyFont="1" applyFill="1" applyBorder="1" applyAlignment="1">
      <alignment vertical="top" wrapText="1"/>
    </xf>
    <xf numFmtId="0" fontId="0" fillId="6" borderId="0" xfId="0" applyFill="1"/>
    <xf numFmtId="166" fontId="0" fillId="6" borderId="6" xfId="0" applyNumberFormat="1" applyFill="1" applyBorder="1"/>
    <xf numFmtId="0" fontId="2" fillId="6" borderId="7" xfId="0" applyFont="1" applyFill="1" applyBorder="1" applyAlignment="1">
      <alignment vertical="top" wrapText="1"/>
    </xf>
    <xf numFmtId="0" fontId="0" fillId="6" borderId="1" xfId="0" applyFill="1" applyBorder="1"/>
    <xf numFmtId="166" fontId="0" fillId="6" borderId="8" xfId="0" applyNumberFormat="1" applyFill="1" applyBorder="1"/>
    <xf numFmtId="0" fontId="3" fillId="6" borderId="9" xfId="0" applyFont="1" applyFill="1" applyBorder="1" applyAlignment="1">
      <alignment vertical="top" wrapText="1"/>
    </xf>
    <xf numFmtId="0" fontId="1" fillId="6" borderId="10" xfId="0" applyFont="1" applyFill="1" applyBorder="1"/>
    <xf numFmtId="166" fontId="1" fillId="6" borderId="11" xfId="0" applyNumberFormat="1" applyFont="1" applyFill="1" applyBorder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5"/>
  <sheetViews>
    <sheetView tabSelected="1" workbookViewId="0"/>
  </sheetViews>
  <sheetFormatPr defaultRowHeight="14.4" x14ac:dyDescent="0.55000000000000004"/>
  <cols>
    <col min="2" max="7" width="9.68359375" customWidth="1"/>
  </cols>
  <sheetData>
    <row r="2" spans="2:7" x14ac:dyDescent="0.55000000000000004">
      <c r="B2" s="25" t="s">
        <v>53</v>
      </c>
      <c r="C2" s="25"/>
      <c r="D2" s="25" t="s">
        <v>54</v>
      </c>
      <c r="E2" s="25"/>
      <c r="F2" s="25"/>
      <c r="G2" s="25"/>
    </row>
    <row r="3" spans="2:7" x14ac:dyDescent="0.55000000000000004">
      <c r="B3" s="3"/>
      <c r="C3" s="3"/>
      <c r="D3" s="4"/>
      <c r="E3" s="4"/>
      <c r="F3" s="4"/>
      <c r="G3" s="4"/>
    </row>
    <row r="4" spans="2:7" x14ac:dyDescent="0.55000000000000004">
      <c r="B4" s="5"/>
      <c r="C4" s="5"/>
      <c r="D4" s="5"/>
      <c r="E4" s="5"/>
      <c r="F4" s="6"/>
      <c r="G4" s="6"/>
    </row>
    <row r="5" spans="2:7" x14ac:dyDescent="0.55000000000000004">
      <c r="B5" s="25" t="s">
        <v>55</v>
      </c>
      <c r="C5" s="25"/>
      <c r="D5" s="25"/>
      <c r="E5" s="25"/>
      <c r="F5" s="25" t="s">
        <v>56</v>
      </c>
      <c r="G5" s="25"/>
    </row>
  </sheetData>
  <mergeCells count="4">
    <mergeCell ref="B2:C2"/>
    <mergeCell ref="D2:G2"/>
    <mergeCell ref="B5:E5"/>
    <mergeCell ref="F5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03932-C075-4224-BB0E-90B36646350E}">
  <dimension ref="A1:C36"/>
  <sheetViews>
    <sheetView workbookViewId="0"/>
  </sheetViews>
  <sheetFormatPr defaultRowHeight="14.4" x14ac:dyDescent="0.55000000000000004"/>
  <cols>
    <col min="1" max="1" width="80" customWidth="1"/>
    <col min="2" max="3" width="14" customWidth="1"/>
  </cols>
  <sheetData>
    <row r="1" spans="1:3" x14ac:dyDescent="0.55000000000000004">
      <c r="A1" s="11" t="s">
        <v>48</v>
      </c>
      <c r="B1" s="10" t="s">
        <v>64</v>
      </c>
      <c r="C1" s="10" t="s">
        <v>67</v>
      </c>
    </row>
    <row r="2" spans="1:3" x14ac:dyDescent="0.55000000000000004">
      <c r="A2" s="2" t="s">
        <v>47</v>
      </c>
      <c r="B2" s="1" t="s">
        <v>57</v>
      </c>
      <c r="C2" s="1" t="s">
        <v>57</v>
      </c>
    </row>
    <row r="3" spans="1:3" x14ac:dyDescent="0.55000000000000004">
      <c r="A3" s="1" t="s">
        <v>46</v>
      </c>
      <c r="B3" s="7">
        <v>73387</v>
      </c>
      <c r="C3" s="7">
        <v>78779</v>
      </c>
    </row>
    <row r="4" spans="1:3" x14ac:dyDescent="0.55000000000000004">
      <c r="A4" s="1" t="s">
        <v>45</v>
      </c>
      <c r="B4" s="8">
        <v>13393</v>
      </c>
      <c r="C4" s="8">
        <v>22423</v>
      </c>
    </row>
    <row r="5" spans="1:3" x14ac:dyDescent="0.55000000000000004">
      <c r="A5" s="1" t="s">
        <v>44</v>
      </c>
      <c r="B5" s="8">
        <v>33318</v>
      </c>
      <c r="C5" s="8">
        <v>34214</v>
      </c>
    </row>
    <row r="6" spans="1:3" x14ac:dyDescent="0.55000000000000004">
      <c r="A6" s="1" t="s">
        <v>43</v>
      </c>
      <c r="B6" s="8">
        <v>52253</v>
      </c>
      <c r="C6" s="8">
        <v>55451</v>
      </c>
    </row>
    <row r="7" spans="1:3" x14ac:dyDescent="0.55000000000000004">
      <c r="A7" s="1" t="s">
        <v>42</v>
      </c>
      <c r="B7" s="8">
        <v>172351</v>
      </c>
      <c r="C7" s="8">
        <v>190867</v>
      </c>
    </row>
    <row r="8" spans="1:3" x14ac:dyDescent="0.55000000000000004">
      <c r="A8" s="1" t="s">
        <v>41</v>
      </c>
      <c r="B8" s="8">
        <v>204177</v>
      </c>
      <c r="C8" s="8">
        <v>252665</v>
      </c>
    </row>
    <row r="9" spans="1:3" x14ac:dyDescent="0.55000000000000004">
      <c r="A9" s="1" t="s">
        <v>40</v>
      </c>
      <c r="B9" s="8">
        <v>72513</v>
      </c>
      <c r="C9" s="8">
        <v>76141</v>
      </c>
    </row>
    <row r="10" spans="1:3" x14ac:dyDescent="0.55000000000000004">
      <c r="A10" s="1" t="s">
        <v>39</v>
      </c>
      <c r="B10" s="8">
        <v>22789</v>
      </c>
      <c r="C10" s="8">
        <v>23074</v>
      </c>
    </row>
    <row r="11" spans="1:3" x14ac:dyDescent="0.55000000000000004">
      <c r="A11" s="1" t="s">
        <v>38</v>
      </c>
      <c r="B11" s="8">
        <v>56024</v>
      </c>
      <c r="C11" s="8">
        <v>82147</v>
      </c>
    </row>
    <row r="12" spans="1:3" x14ac:dyDescent="0.55000000000000004">
      <c r="A12" s="1" t="s">
        <v>37</v>
      </c>
      <c r="B12" s="8">
        <v>527854</v>
      </c>
      <c r="C12" s="8">
        <v>624894</v>
      </c>
    </row>
    <row r="13" spans="1:3" x14ac:dyDescent="0.55000000000000004">
      <c r="A13" s="2" t="s">
        <v>36</v>
      </c>
      <c r="B13" s="1" t="s">
        <v>57</v>
      </c>
      <c r="C13" s="1" t="s">
        <v>57</v>
      </c>
    </row>
    <row r="14" spans="1:3" x14ac:dyDescent="0.55000000000000004">
      <c r="A14" s="1" t="s">
        <v>35</v>
      </c>
      <c r="B14" s="8">
        <v>84981</v>
      </c>
      <c r="C14" s="8">
        <v>94363</v>
      </c>
    </row>
    <row r="15" spans="1:3" x14ac:dyDescent="0.55000000000000004">
      <c r="A15" s="1" t="s">
        <v>34</v>
      </c>
      <c r="B15" s="8">
        <v>64709</v>
      </c>
      <c r="C15" s="8">
        <v>66965</v>
      </c>
    </row>
    <row r="16" spans="1:3" x14ac:dyDescent="0.55000000000000004">
      <c r="A16" s="1" t="s">
        <v>33</v>
      </c>
      <c r="B16" s="8">
        <v>15227</v>
      </c>
      <c r="C16" s="8">
        <v>18103</v>
      </c>
    </row>
    <row r="17" spans="1:3" x14ac:dyDescent="0.55000000000000004">
      <c r="A17" s="1" t="s">
        <v>32</v>
      </c>
      <c r="B17" s="8">
        <v>164917</v>
      </c>
      <c r="C17" s="8">
        <v>179431</v>
      </c>
    </row>
    <row r="18" spans="1:3" x14ac:dyDescent="0.55000000000000004">
      <c r="A18" s="1" t="s">
        <v>31</v>
      </c>
      <c r="B18" s="8">
        <v>77297</v>
      </c>
      <c r="C18" s="8">
        <v>78277</v>
      </c>
    </row>
    <row r="19" spans="1:3" x14ac:dyDescent="0.55000000000000004">
      <c r="A19" s="1" t="s">
        <v>30</v>
      </c>
      <c r="B19" s="8">
        <v>58314</v>
      </c>
      <c r="C19" s="8">
        <v>52623</v>
      </c>
    </row>
    <row r="20" spans="1:3" x14ac:dyDescent="0.55000000000000004">
      <c r="A20" s="1" t="s">
        <v>29</v>
      </c>
      <c r="B20" s="8">
        <v>25451</v>
      </c>
      <c r="C20" s="8">
        <v>28593</v>
      </c>
    </row>
    <row r="21" spans="1:3" x14ac:dyDescent="0.55000000000000004">
      <c r="A21" s="1" t="s">
        <v>28</v>
      </c>
      <c r="B21" s="1" t="s">
        <v>27</v>
      </c>
      <c r="C21" s="1" t="s">
        <v>27</v>
      </c>
    </row>
    <row r="22" spans="1:3" x14ac:dyDescent="0.55000000000000004">
      <c r="A22" s="2" t="s">
        <v>26</v>
      </c>
      <c r="B22" s="1" t="s">
        <v>57</v>
      </c>
      <c r="C22" s="1" t="s">
        <v>57</v>
      </c>
    </row>
    <row r="23" spans="1:3" x14ac:dyDescent="0.55000000000000004">
      <c r="A23" s="1" t="s">
        <v>66</v>
      </c>
      <c r="B23" s="8">
        <v>0</v>
      </c>
      <c r="C23" s="8">
        <v>0</v>
      </c>
    </row>
    <row r="24" spans="1:3" ht="28.8" x14ac:dyDescent="0.55000000000000004">
      <c r="A24" s="1" t="s">
        <v>68</v>
      </c>
      <c r="B24" s="8">
        <v>109</v>
      </c>
      <c r="C24" s="8">
        <v>111</v>
      </c>
    </row>
    <row r="25" spans="1:3" x14ac:dyDescent="0.55000000000000004">
      <c r="A25" s="1" t="s">
        <v>25</v>
      </c>
      <c r="B25" s="8">
        <v>-7837</v>
      </c>
      <c r="C25" s="8">
        <v>-7837</v>
      </c>
    </row>
    <row r="26" spans="1:3" x14ac:dyDescent="0.55000000000000004">
      <c r="A26" s="1" t="s">
        <v>24</v>
      </c>
      <c r="B26" s="8">
        <v>99025</v>
      </c>
      <c r="C26" s="8">
        <v>120864</v>
      </c>
    </row>
    <row r="27" spans="1:3" x14ac:dyDescent="0.55000000000000004">
      <c r="A27" s="1" t="s">
        <v>23</v>
      </c>
      <c r="B27" s="8">
        <v>-3040</v>
      </c>
      <c r="C27" s="8">
        <v>-34</v>
      </c>
    </row>
    <row r="28" spans="1:3" x14ac:dyDescent="0.55000000000000004">
      <c r="A28" s="1" t="s">
        <v>22</v>
      </c>
      <c r="B28" s="8">
        <v>113618</v>
      </c>
      <c r="C28" s="8">
        <v>172866</v>
      </c>
    </row>
    <row r="29" spans="1:3" x14ac:dyDescent="0.55000000000000004">
      <c r="A29" s="1" t="s">
        <v>21</v>
      </c>
      <c r="B29" s="8">
        <v>201875</v>
      </c>
      <c r="C29" s="8">
        <v>285970</v>
      </c>
    </row>
    <row r="30" spans="1:3" x14ac:dyDescent="0.55000000000000004">
      <c r="A30" s="1" t="s">
        <v>20</v>
      </c>
      <c r="B30" s="7">
        <v>527854</v>
      </c>
      <c r="C30" s="7">
        <v>624894</v>
      </c>
    </row>
    <row r="31" spans="1:3" ht="14.7" thickBot="1" x14ac:dyDescent="0.6"/>
    <row r="32" spans="1:3" x14ac:dyDescent="0.55000000000000004">
      <c r="A32" s="13" t="s">
        <v>49</v>
      </c>
      <c r="B32" s="14"/>
      <c r="C32" s="15"/>
    </row>
    <row r="33" spans="1:3" x14ac:dyDescent="0.55000000000000004">
      <c r="A33" s="16" t="s">
        <v>50</v>
      </c>
      <c r="B33" s="17"/>
      <c r="C33" s="18">
        <f>AVERAGE(B6:C6)/('Income statement'!D3/365)</f>
        <v>30.810726081143148</v>
      </c>
    </row>
    <row r="34" spans="1:3" x14ac:dyDescent="0.55000000000000004">
      <c r="A34" s="16" t="s">
        <v>51</v>
      </c>
      <c r="B34" s="17"/>
      <c r="C34" s="18">
        <f>AVERAGE(B5:C5)/('Income statement'!D5/365)</f>
        <v>37.772121561320063</v>
      </c>
    </row>
    <row r="35" spans="1:3" x14ac:dyDescent="0.55000000000000004">
      <c r="A35" s="19" t="s">
        <v>52</v>
      </c>
      <c r="B35" s="20"/>
      <c r="C35" s="21">
        <f>AVERAGE(B14:C14)/('Income statement'!D5/365)</f>
        <v>100.31101358309225</v>
      </c>
    </row>
    <row r="36" spans="1:3" ht="14.7" thickBot="1" x14ac:dyDescent="0.6">
      <c r="A36" s="22" t="s">
        <v>49</v>
      </c>
      <c r="B36" s="23"/>
      <c r="C36" s="24">
        <f>C33+C34-C35</f>
        <v>-31.72816594062904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09775-FDC5-4808-8BCA-A3114E2111A9}">
  <dimension ref="A1:D29"/>
  <sheetViews>
    <sheetView workbookViewId="0">
      <selection sqref="A1:A2"/>
    </sheetView>
  </sheetViews>
  <sheetFormatPr defaultRowHeight="14.4" x14ac:dyDescent="0.55000000000000004"/>
  <cols>
    <col min="1" max="1" width="80" customWidth="1"/>
    <col min="2" max="3" width="14" customWidth="1"/>
    <col min="4" max="4" width="16" customWidth="1"/>
  </cols>
  <sheetData>
    <row r="1" spans="1:4" x14ac:dyDescent="0.55000000000000004">
      <c r="A1" s="26" t="s">
        <v>65</v>
      </c>
      <c r="D1" s="12"/>
    </row>
    <row r="2" spans="1:4" x14ac:dyDescent="0.55000000000000004">
      <c r="A2" s="27"/>
      <c r="B2" s="10" t="s">
        <v>63</v>
      </c>
      <c r="C2" s="10" t="s">
        <v>64</v>
      </c>
      <c r="D2" s="10" t="s">
        <v>67</v>
      </c>
    </row>
    <row r="3" spans="1:4" x14ac:dyDescent="0.55000000000000004">
      <c r="A3" s="1" t="s">
        <v>0</v>
      </c>
      <c r="B3" s="7">
        <v>513983</v>
      </c>
      <c r="C3" s="7">
        <v>574785</v>
      </c>
      <c r="D3" s="7">
        <v>637959</v>
      </c>
    </row>
    <row r="4" spans="1:4" x14ac:dyDescent="0.55000000000000004">
      <c r="A4" s="2" t="s">
        <v>19</v>
      </c>
      <c r="B4" s="1" t="s">
        <v>57</v>
      </c>
      <c r="C4" s="1" t="s">
        <v>57</v>
      </c>
      <c r="D4" s="1" t="s">
        <v>57</v>
      </c>
    </row>
    <row r="5" spans="1:4" x14ac:dyDescent="0.55000000000000004">
      <c r="A5" s="1" t="s">
        <v>18</v>
      </c>
      <c r="B5" s="8">
        <v>288831</v>
      </c>
      <c r="C5" s="8">
        <v>304739</v>
      </c>
      <c r="D5" s="8">
        <v>326288</v>
      </c>
    </row>
    <row r="6" spans="1:4" x14ac:dyDescent="0.55000000000000004">
      <c r="A6" s="1" t="s">
        <v>17</v>
      </c>
      <c r="B6" s="8">
        <v>84299</v>
      </c>
      <c r="C6" s="8">
        <v>90619</v>
      </c>
      <c r="D6" s="8">
        <v>98505</v>
      </c>
    </row>
    <row r="7" spans="1:4" x14ac:dyDescent="0.55000000000000004">
      <c r="A7" s="1" t="s">
        <v>62</v>
      </c>
      <c r="B7" s="8">
        <v>73213</v>
      </c>
      <c r="C7" s="8">
        <v>85622</v>
      </c>
      <c r="D7" s="8">
        <v>88544</v>
      </c>
    </row>
    <row r="8" spans="1:4" x14ac:dyDescent="0.55000000000000004">
      <c r="A8" s="1" t="s">
        <v>61</v>
      </c>
      <c r="B8" s="8">
        <v>42238</v>
      </c>
      <c r="C8" s="8">
        <v>44370</v>
      </c>
      <c r="D8" s="8">
        <v>43907</v>
      </c>
    </row>
    <row r="9" spans="1:4" x14ac:dyDescent="0.55000000000000004">
      <c r="A9" s="1" t="s">
        <v>16</v>
      </c>
      <c r="B9" s="8">
        <v>11891</v>
      </c>
      <c r="C9" s="8">
        <v>11816</v>
      </c>
      <c r="D9" s="8">
        <v>11359</v>
      </c>
    </row>
    <row r="10" spans="1:4" x14ac:dyDescent="0.55000000000000004">
      <c r="A10" s="1" t="s">
        <v>15</v>
      </c>
      <c r="B10" s="8">
        <v>1263</v>
      </c>
      <c r="C10" s="8">
        <v>767</v>
      </c>
      <c r="D10" s="8">
        <v>763</v>
      </c>
    </row>
    <row r="11" spans="1:4" x14ac:dyDescent="0.55000000000000004">
      <c r="A11" s="1" t="s">
        <v>14</v>
      </c>
      <c r="B11" s="8">
        <v>501735</v>
      </c>
      <c r="C11" s="8">
        <v>537933</v>
      </c>
      <c r="D11" s="8">
        <v>569366</v>
      </c>
    </row>
    <row r="12" spans="1:4" x14ac:dyDescent="0.55000000000000004">
      <c r="A12" s="1" t="s">
        <v>13</v>
      </c>
      <c r="B12" s="8">
        <v>12248</v>
      </c>
      <c r="C12" s="8">
        <v>36852</v>
      </c>
      <c r="D12" s="8">
        <v>68593</v>
      </c>
    </row>
    <row r="13" spans="1:4" x14ac:dyDescent="0.55000000000000004">
      <c r="A13" s="1" t="s">
        <v>12</v>
      </c>
      <c r="B13" s="8">
        <v>989</v>
      </c>
      <c r="C13" s="8">
        <v>2949</v>
      </c>
      <c r="D13" s="8">
        <v>4677</v>
      </c>
    </row>
    <row r="14" spans="1:4" x14ac:dyDescent="0.55000000000000004">
      <c r="A14" s="1" t="s">
        <v>11</v>
      </c>
      <c r="B14" s="8">
        <v>-2367</v>
      </c>
      <c r="C14" s="8">
        <v>-3182</v>
      </c>
      <c r="D14" s="8">
        <v>-2406</v>
      </c>
    </row>
    <row r="15" spans="1:4" x14ac:dyDescent="0.55000000000000004">
      <c r="A15" s="1" t="s">
        <v>10</v>
      </c>
      <c r="B15" s="8">
        <v>-16806</v>
      </c>
      <c r="C15" s="8">
        <v>938</v>
      </c>
      <c r="D15" s="8">
        <v>-2250</v>
      </c>
    </row>
    <row r="16" spans="1:4" x14ac:dyDescent="0.55000000000000004">
      <c r="A16" s="1" t="s">
        <v>9</v>
      </c>
      <c r="B16" s="8">
        <v>-18184</v>
      </c>
      <c r="C16" s="8">
        <v>705</v>
      </c>
      <c r="D16" s="8">
        <v>21</v>
      </c>
    </row>
    <row r="17" spans="1:4" x14ac:dyDescent="0.55000000000000004">
      <c r="A17" s="1" t="s">
        <v>60</v>
      </c>
      <c r="B17" s="8">
        <v>-5936</v>
      </c>
      <c r="C17" s="8">
        <v>37557</v>
      </c>
      <c r="D17" s="8">
        <v>68614</v>
      </c>
    </row>
    <row r="18" spans="1:4" x14ac:dyDescent="0.55000000000000004">
      <c r="A18" s="1" t="s">
        <v>59</v>
      </c>
      <c r="B18" s="8">
        <v>3217</v>
      </c>
      <c r="C18" s="8">
        <v>-7120</v>
      </c>
      <c r="D18" s="8">
        <v>-9265</v>
      </c>
    </row>
    <row r="19" spans="1:4" x14ac:dyDescent="0.55000000000000004">
      <c r="A19" s="1" t="s">
        <v>8</v>
      </c>
      <c r="B19" s="8">
        <v>-3</v>
      </c>
      <c r="C19" s="8">
        <v>-12</v>
      </c>
      <c r="D19" s="8">
        <v>-101</v>
      </c>
    </row>
    <row r="20" spans="1:4" x14ac:dyDescent="0.55000000000000004">
      <c r="A20" s="1" t="s">
        <v>58</v>
      </c>
      <c r="B20" s="7">
        <v>-2722</v>
      </c>
      <c r="C20" s="7">
        <v>30425</v>
      </c>
      <c r="D20" s="7">
        <v>59248</v>
      </c>
    </row>
    <row r="21" spans="1:4" x14ac:dyDescent="0.55000000000000004">
      <c r="A21" s="1" t="s">
        <v>7</v>
      </c>
      <c r="B21" s="9">
        <v>-0.27</v>
      </c>
      <c r="C21" s="9">
        <v>2.95</v>
      </c>
      <c r="D21" s="9">
        <v>5.66</v>
      </c>
    </row>
    <row r="22" spans="1:4" x14ac:dyDescent="0.55000000000000004">
      <c r="A22" s="1" t="s">
        <v>6</v>
      </c>
      <c r="B22" s="9">
        <v>-0.27</v>
      </c>
      <c r="C22" s="9">
        <v>2.9</v>
      </c>
      <c r="D22" s="9">
        <v>5.53</v>
      </c>
    </row>
    <row r="23" spans="1:4" x14ac:dyDescent="0.55000000000000004">
      <c r="A23" s="2" t="s">
        <v>5</v>
      </c>
      <c r="B23" s="1" t="s">
        <v>57</v>
      </c>
      <c r="C23" s="1" t="s">
        <v>57</v>
      </c>
      <c r="D23" s="1" t="s">
        <v>57</v>
      </c>
    </row>
    <row r="24" spans="1:4" x14ac:dyDescent="0.55000000000000004">
      <c r="A24" s="1" t="s">
        <v>4</v>
      </c>
      <c r="B24" s="8">
        <v>10189</v>
      </c>
      <c r="C24" s="8">
        <v>10304</v>
      </c>
      <c r="D24" s="8">
        <v>10473</v>
      </c>
    </row>
    <row r="25" spans="1:4" x14ac:dyDescent="0.55000000000000004">
      <c r="A25" s="1" t="s">
        <v>3</v>
      </c>
      <c r="B25" s="8">
        <v>10189</v>
      </c>
      <c r="C25" s="8">
        <v>10492</v>
      </c>
      <c r="D25" s="8">
        <v>10721</v>
      </c>
    </row>
    <row r="26" spans="1:4" x14ac:dyDescent="0.55000000000000004">
      <c r="A26" s="1" t="s">
        <v>2</v>
      </c>
      <c r="B26" s="1" t="s">
        <v>57</v>
      </c>
      <c r="C26" s="1" t="s">
        <v>57</v>
      </c>
      <c r="D26" s="1" t="s">
        <v>57</v>
      </c>
    </row>
    <row r="27" spans="1:4" x14ac:dyDescent="0.55000000000000004">
      <c r="A27" s="1" t="s">
        <v>0</v>
      </c>
      <c r="B27" s="7">
        <v>242901</v>
      </c>
      <c r="C27" s="7">
        <v>255887</v>
      </c>
      <c r="D27" s="7">
        <v>272311</v>
      </c>
    </row>
    <row r="28" spans="1:4" x14ac:dyDescent="0.55000000000000004">
      <c r="A28" s="1" t="s">
        <v>1</v>
      </c>
      <c r="B28" s="1" t="s">
        <v>57</v>
      </c>
      <c r="C28" s="1" t="s">
        <v>57</v>
      </c>
      <c r="D28" s="1" t="s">
        <v>57</v>
      </c>
    </row>
    <row r="29" spans="1:4" x14ac:dyDescent="0.55000000000000004">
      <c r="A29" s="1" t="s">
        <v>0</v>
      </c>
      <c r="B29" s="7">
        <v>271082</v>
      </c>
      <c r="C29" s="7">
        <v>318898</v>
      </c>
      <c r="D29" s="7">
        <v>365648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WC days chart</vt:lpstr>
      <vt:lpstr>Balance Sheets</vt:lpstr>
      <vt:lpstr>Income statement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Vesi</dc:creator>
  <cp:lastModifiedBy>Veselina Dinova</cp:lastModifiedBy>
  <dcterms:created xsi:type="dcterms:W3CDTF">2021-03-25T23:10:21Z</dcterms:created>
  <dcterms:modified xsi:type="dcterms:W3CDTF">2025-09-16T01:09:41Z</dcterms:modified>
</cp:coreProperties>
</file>