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BALANCE SHEETS" sheetId="1" state="visible" r:id="rId1"/>
    <sheet xmlns:r="http://schemas.openxmlformats.org/officeDocument/2006/relationships" name="CONSOLIDATED STATEMENTS OF INCO" sheetId="2" state="visible" r:id="rId2"/>
    <sheet xmlns:r="http://schemas.openxmlformats.org/officeDocument/2006/relationships" name="CONSOLIDATED STATEMENTS OF CA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3" fontId="0" fillId="0" borderId="0" pivotButton="0" quotePrefix="0" xfId="0"/>
    <xf numFmtId="3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49"/>
  <sheetViews>
    <sheetView workbookViewId="0">
      <selection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</cols>
  <sheetData>
    <row r="2">
      <c r="A2" s="1" t="inlineStr">
        <is>
          <t>Coca-Cola Balance sheet</t>
        </is>
      </c>
    </row>
    <row r="4">
      <c r="A4" s="2" t="inlineStr">
        <is>
          <t>Consolidated Balance Sheets - USD ($) $ in Millions</t>
        </is>
      </c>
      <c r="B4" s="3" t="inlineStr">
        <is>
          <t>Dec. 31, 2024</t>
        </is>
      </c>
      <c r="C4" s="3" t="inlineStr">
        <is>
          <t>Dec. 31, 2025</t>
        </is>
      </c>
    </row>
    <row r="5">
      <c r="A5" s="2" t="inlineStr">
        <is>
          <t>CURRENT ASSETS</t>
        </is>
      </c>
    </row>
    <row r="6">
      <c r="A6" t="inlineStr">
        <is>
          <t>Cash and cash equivalents</t>
        </is>
      </c>
      <c r="B6" s="4" t="n">
        <v>10828</v>
      </c>
      <c r="C6" s="4" t="n">
        <v>10270</v>
      </c>
    </row>
    <row r="7">
      <c r="A7" t="inlineStr">
        <is>
          <t>Short-term investments</t>
        </is>
      </c>
      <c r="B7" s="4" t="n">
        <v>2020</v>
      </c>
      <c r="C7" s="4" t="n">
        <v>3602</v>
      </c>
    </row>
    <row r="8">
      <c r="A8" s="2" t="inlineStr">
        <is>
          <t>Total Cash, Cash Equivalents and Short-Term Investments</t>
        </is>
      </c>
      <c r="B8" s="5" t="n">
        <v>12848</v>
      </c>
      <c r="C8" s="5" t="n">
        <v>13872</v>
      </c>
    </row>
    <row r="9">
      <c r="A9" t="inlineStr">
        <is>
          <t>Marketable securities</t>
        </is>
      </c>
      <c r="B9" s="4" t="n">
        <v>1723</v>
      </c>
      <c r="C9" s="4" t="n">
        <v>1934</v>
      </c>
    </row>
    <row r="10">
      <c r="A10" t="inlineStr">
        <is>
          <t>Trade accounts receivable, less allowances of $506 and $495, respectively</t>
        </is>
      </c>
      <c r="B10" s="4" t="n">
        <v>3569</v>
      </c>
      <c r="C10" s="4" t="n">
        <v>3038</v>
      </c>
    </row>
    <row r="11">
      <c r="A11" t="inlineStr">
        <is>
          <t>Inventories</t>
        </is>
      </c>
      <c r="B11" s="4" t="n">
        <v>4728</v>
      </c>
      <c r="C11" s="4" t="n">
        <v>4425</v>
      </c>
    </row>
    <row r="12">
      <c r="A12" t="inlineStr">
        <is>
          <t>Prepaid expenses and other current assets</t>
        </is>
      </c>
      <c r="B12" s="4" t="n">
        <v>2998</v>
      </c>
      <c r="C12" s="4" t="n">
        <v>2433</v>
      </c>
    </row>
    <row r="13">
      <c r="A13" t="inlineStr">
        <is>
          <t>Assets held for sale</t>
        </is>
      </c>
      <c r="B13" s="4" t="n">
        <v>131</v>
      </c>
      <c r="C13" s="4" t="n">
        <v>5342</v>
      </c>
    </row>
    <row r="14">
      <c r="A14" s="2" t="inlineStr">
        <is>
          <t>Total Current Assets</t>
        </is>
      </c>
      <c r="B14" s="5" t="n">
        <v>25997</v>
      </c>
      <c r="C14" s="5" t="n">
        <v>31044</v>
      </c>
    </row>
    <row r="15">
      <c r="A15" t="inlineStr">
        <is>
          <t>Equity method investments</t>
        </is>
      </c>
      <c r="B15" s="4" t="n">
        <v>18087</v>
      </c>
      <c r="C15" s="4" t="n">
        <v>20235</v>
      </c>
    </row>
    <row r="16">
      <c r="A16" t="inlineStr">
        <is>
          <t>Deferred income tax assets</t>
        </is>
      </c>
      <c r="B16" s="4" t="n">
        <v>1319</v>
      </c>
      <c r="C16" s="4" t="n">
        <v>1206</v>
      </c>
    </row>
    <row r="17">
      <c r="A17" t="inlineStr">
        <is>
          <t>Property, plant and equipment — net</t>
        </is>
      </c>
      <c r="B17" s="4" t="n">
        <v>10303</v>
      </c>
      <c r="C17" s="4" t="n">
        <v>9613</v>
      </c>
    </row>
    <row r="18">
      <c r="A18" t="inlineStr">
        <is>
          <t>Trademarks with indefinite lives</t>
        </is>
      </c>
      <c r="B18" s="4" t="n">
        <v>13301</v>
      </c>
      <c r="C18" s="4" t="n">
        <v>12531</v>
      </c>
    </row>
    <row r="19">
      <c r="A19" t="inlineStr">
        <is>
          <t>Goodwill</t>
        </is>
      </c>
      <c r="B19" s="4" t="n">
        <v>18139</v>
      </c>
      <c r="C19" s="4" t="n">
        <v>15491</v>
      </c>
    </row>
    <row r="20">
      <c r="A20" t="inlineStr">
        <is>
          <t>Other noncurrent assets</t>
        </is>
      </c>
      <c r="B20" s="4" t="n">
        <v>13403</v>
      </c>
      <c r="C20" s="4" t="n">
        <v>14696</v>
      </c>
    </row>
    <row r="21">
      <c r="A21" s="2" t="inlineStr">
        <is>
          <t>Total Assets</t>
        </is>
      </c>
      <c r="B21" s="5" t="n">
        <v>100549</v>
      </c>
      <c r="C21" s="5" t="n">
        <v>104816</v>
      </c>
    </row>
    <row r="22">
      <c r="A22" s="2" t="inlineStr">
        <is>
          <t>CURRENT LIABILITIES</t>
        </is>
      </c>
    </row>
    <row r="23">
      <c r="A23" t="inlineStr">
        <is>
          <t>Accounts payable and accrued expenses</t>
        </is>
      </c>
      <c r="B23" s="4" t="n">
        <v>21712</v>
      </c>
      <c r="C23" s="4" t="n">
        <v>14813</v>
      </c>
    </row>
    <row r="24">
      <c r="A24" t="inlineStr">
        <is>
          <t>Loans and notes payable</t>
        </is>
      </c>
      <c r="B24" s="4" t="n">
        <v>1499</v>
      </c>
      <c r="C24" s="4" t="n">
        <v>1551</v>
      </c>
    </row>
    <row r="25">
      <c r="A25" t="inlineStr">
        <is>
          <t>Current maturities of long-term debt</t>
        </is>
      </c>
      <c r="B25" s="4" t="n">
        <v>648</v>
      </c>
      <c r="C25" s="4" t="n">
        <v>1822</v>
      </c>
    </row>
    <row r="26">
      <c r="A26" t="inlineStr">
        <is>
          <t>Accrued income taxes</t>
        </is>
      </c>
      <c r="B26" s="4" t="n">
        <v>1387</v>
      </c>
      <c r="C26" s="4" t="n">
        <v>525</v>
      </c>
    </row>
    <row r="27">
      <c r="A27" t="inlineStr">
        <is>
          <t>Liabilities held for sale</t>
        </is>
      </c>
      <c r="B27" s="4" t="n">
        <v>3</v>
      </c>
      <c r="C27" s="4" t="n">
        <v>2570</v>
      </c>
    </row>
    <row r="28">
      <c r="A28" s="2" t="inlineStr">
        <is>
          <t>Total Current Liabilities</t>
        </is>
      </c>
      <c r="B28" s="5" t="n">
        <v>25249</v>
      </c>
      <c r="C28" s="5" t="n">
        <v>21281</v>
      </c>
    </row>
    <row r="29">
      <c r="A29" t="inlineStr">
        <is>
          <t>Long-term debt</t>
        </is>
      </c>
      <c r="B29" s="4" t="n">
        <v>42375</v>
      </c>
      <c r="C29" s="4" t="n">
        <v>42119</v>
      </c>
    </row>
    <row r="30">
      <c r="A30" t="inlineStr">
        <is>
          <t>Other noncurrent liabilities</t>
        </is>
      </c>
      <c r="B30" s="4" t="n">
        <v>4084</v>
      </c>
      <c r="C30" s="4" t="n">
        <v>4735</v>
      </c>
    </row>
    <row r="31">
      <c r="A31" t="inlineStr">
        <is>
          <t>Deferred income tax liabilities</t>
        </is>
      </c>
      <c r="B31" s="4" t="n">
        <v>2469</v>
      </c>
      <c r="C31" s="4" t="n">
        <v>2406</v>
      </c>
    </row>
    <row r="32">
      <c r="A32" s="2" t="inlineStr">
        <is>
          <t>THE COCA-COLA COMPANY SHAREOWNERS' EQUITY</t>
        </is>
      </c>
    </row>
    <row r="33">
      <c r="A33" t="inlineStr">
        <is>
          <t>Common stock, $0.25 par value</t>
        </is>
      </c>
      <c r="B33" s="4" t="n">
        <v>1760</v>
      </c>
      <c r="C33" s="4" t="n">
        <v>1760</v>
      </c>
    </row>
    <row r="34">
      <c r="A34" t="inlineStr">
        <is>
          <t>Capital surplus</t>
        </is>
      </c>
      <c r="B34" s="4" t="n">
        <v>19801</v>
      </c>
      <c r="C34" s="4" t="n">
        <v>20581</v>
      </c>
    </row>
    <row r="35">
      <c r="A35" t="inlineStr">
        <is>
          <t>Reinvested earnings</t>
        </is>
      </c>
      <c r="B35" s="4" t="n">
        <v>76054</v>
      </c>
      <c r="C35" s="4" t="n">
        <v>80382</v>
      </c>
    </row>
    <row r="36">
      <c r="A36" t="inlineStr">
        <is>
          <t>Accumulated other comprehensive income (loss)</t>
        </is>
      </c>
      <c r="B36" s="4" t="n">
        <v>-16843</v>
      </c>
      <c r="C36" s="4" t="n">
        <v>-14131</v>
      </c>
    </row>
    <row r="37">
      <c r="A37" t="inlineStr">
        <is>
          <t>Treasury stock, at cost</t>
        </is>
      </c>
      <c r="B37" s="4" t="n">
        <v>-55916</v>
      </c>
      <c r="C37" s="4" t="n">
        <v>-56423</v>
      </c>
    </row>
    <row r="38">
      <c r="A38" s="2" t="inlineStr">
        <is>
          <t>Equity Attributable to Shareowners of The Coca-Cola Company</t>
        </is>
      </c>
      <c r="B38" s="5" t="n">
        <v>24856</v>
      </c>
      <c r="C38" s="5" t="n">
        <v>32169</v>
      </c>
    </row>
    <row r="39">
      <c r="A39" t="inlineStr">
        <is>
          <t>Equity Attributable to Noncontrolling Interests</t>
        </is>
      </c>
      <c r="B39" s="4" t="n">
        <v>1516</v>
      </c>
      <c r="C39" s="4" t="n">
        <v>2106</v>
      </c>
    </row>
    <row r="40">
      <c r="A40" s="2" t="inlineStr">
        <is>
          <t>Total Equity</t>
        </is>
      </c>
      <c r="B40" s="5" t="n">
        <v>26372</v>
      </c>
      <c r="C40" s="5" t="n">
        <v>34275</v>
      </c>
    </row>
    <row r="41">
      <c r="A41" s="2" t="inlineStr">
        <is>
          <t>Total Liabilities and Equity</t>
        </is>
      </c>
      <c r="B41" s="5" t="n">
        <v>100549</v>
      </c>
      <c r="C41" s="5" t="n">
        <v>104816</v>
      </c>
    </row>
    <row r="44">
      <c r="A44" s="2" t="inlineStr">
        <is>
          <t>Trade accounts payable (from Note 11)</t>
        </is>
      </c>
      <c r="B44" s="4" t="n">
        <v>5468</v>
      </c>
      <c r="C44" s="4" t="n">
        <v>5649</v>
      </c>
    </row>
    <row r="46">
      <c r="A46" s="2" t="inlineStr">
        <is>
          <t>Days AR</t>
        </is>
      </c>
      <c r="C46" s="6">
        <f>AVERAGE(B10:C10)/('CONSOLIDATED STATEMENTS OF INCO'!D5/365)</f>
        <v/>
      </c>
    </row>
    <row r="47">
      <c r="A47" s="2" t="inlineStr">
        <is>
          <t>Days Inventory</t>
        </is>
      </c>
      <c r="C47" s="6">
        <f>AVERAGE(B11:C11)/('CONSOLIDATED STATEMENTS OF INCO'!D6/365)</f>
        <v/>
      </c>
    </row>
    <row r="48">
      <c r="A48" s="2" t="inlineStr">
        <is>
          <t>Days AP</t>
        </is>
      </c>
      <c r="C48" s="6">
        <f>AVERAGE(B44:C44)/('CONSOLIDATED STATEMENTS OF INCO'!D6/365)</f>
        <v/>
      </c>
    </row>
    <row r="49">
      <c r="A49" s="2" t="inlineStr">
        <is>
          <t>Days AR plus Days Inventory minus Days AP</t>
        </is>
      </c>
      <c r="C49" s="6">
        <f>C46+C47-C48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24"/>
  <sheetViews>
    <sheetView workbookViewId="0">
      <selection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</cols>
  <sheetData>
    <row r="2">
      <c r="A2" s="1" t="inlineStr">
        <is>
          <t>CONSOLIDATED STATEMENTS OF INCOME</t>
        </is>
      </c>
    </row>
    <row r="4">
      <c r="A4" s="2" t="inlineStr">
        <is>
          <t>CONSOLIDATED STATEMENTS OF INCOME - USD ($)</t>
        </is>
      </c>
      <c r="B4" s="3" t="inlineStr">
        <is>
          <t>Dec. 31, 2023</t>
        </is>
      </c>
      <c r="C4" s="3" t="inlineStr">
        <is>
          <t>Dec. 31, 2024</t>
        </is>
      </c>
      <c r="D4" s="3" t="inlineStr">
        <is>
          <t>Dec. 31, 2025</t>
        </is>
      </c>
    </row>
    <row r="5">
      <c r="A5" t="inlineStr">
        <is>
          <t>Net Operating Revenues</t>
        </is>
      </c>
      <c r="B5" s="4" t="n">
        <v>45754</v>
      </c>
      <c r="C5" s="4" t="n">
        <v>47061</v>
      </c>
      <c r="D5" s="4" t="n">
        <v>47941</v>
      </c>
    </row>
    <row r="6">
      <c r="A6" t="inlineStr">
        <is>
          <t>Cost of goods sold</t>
        </is>
      </c>
      <c r="B6" s="4" t="n">
        <v>18520</v>
      </c>
      <c r="C6" s="4" t="n">
        <v>18324</v>
      </c>
      <c r="D6" s="4" t="n">
        <v>18397</v>
      </c>
    </row>
    <row r="7">
      <c r="A7" s="2" t="inlineStr">
        <is>
          <t>Gross Profit</t>
        </is>
      </c>
      <c r="B7" s="5" t="n">
        <v>27234</v>
      </c>
      <c r="C7" s="5" t="n">
        <v>28737</v>
      </c>
      <c r="D7" s="5" t="n">
        <v>29544</v>
      </c>
    </row>
    <row r="8">
      <c r="A8" t="inlineStr">
        <is>
          <t>Selling, general and administrative expenses</t>
        </is>
      </c>
      <c r="B8" s="4" t="n">
        <v>13972</v>
      </c>
      <c r="C8" s="4" t="n">
        <v>14582</v>
      </c>
      <c r="D8" s="4" t="n">
        <v>14521</v>
      </c>
    </row>
    <row r="9">
      <c r="A9" t="inlineStr">
        <is>
          <t>Other operating charges</t>
        </is>
      </c>
      <c r="B9" s="4" t="n">
        <v>1951</v>
      </c>
      <c r="C9" s="4" t="n">
        <v>4163</v>
      </c>
      <c r="D9" s="4" t="n">
        <v>1261</v>
      </c>
    </row>
    <row r="10">
      <c r="A10" s="2" t="inlineStr">
        <is>
          <t>Operating Income</t>
        </is>
      </c>
      <c r="B10" s="5" t="n">
        <v>11311</v>
      </c>
      <c r="C10" s="5" t="n">
        <v>9992</v>
      </c>
      <c r="D10" s="5" t="n">
        <v>13762</v>
      </c>
    </row>
    <row r="11">
      <c r="A11" t="inlineStr">
        <is>
          <t>Interest income</t>
        </is>
      </c>
      <c r="B11" s="4" t="n">
        <v>907</v>
      </c>
      <c r="C11" s="4" t="n">
        <v>988</v>
      </c>
      <c r="D11" s="4" t="n">
        <v>786</v>
      </c>
    </row>
    <row r="12">
      <c r="A12" t="inlineStr">
        <is>
          <t>Interest expense</t>
        </is>
      </c>
      <c r="B12" s="4" t="n">
        <v>1527</v>
      </c>
      <c r="C12" s="4" t="n">
        <v>1656</v>
      </c>
      <c r="D12" s="4" t="n">
        <v>1654</v>
      </c>
    </row>
    <row r="13">
      <c r="A13" t="inlineStr">
        <is>
          <t>Equity income (loss) — net</t>
        </is>
      </c>
      <c r="B13" s="4" t="n">
        <v>1691</v>
      </c>
      <c r="C13" s="4" t="n">
        <v>1770</v>
      </c>
      <c r="D13" s="4" t="n">
        <v>2031</v>
      </c>
    </row>
    <row r="14">
      <c r="A14" t="inlineStr">
        <is>
          <t>Other income (loss) — net</t>
        </is>
      </c>
      <c r="B14" s="4" t="n">
        <v>570</v>
      </c>
      <c r="C14" s="4" t="n">
        <v>1992</v>
      </c>
      <c r="D14" s="4" t="n">
        <v>1073</v>
      </c>
    </row>
    <row r="15">
      <c r="A15" s="2" t="inlineStr">
        <is>
          <t>Income Before Income Taxes</t>
        </is>
      </c>
      <c r="B15" s="5" t="n">
        <v>12952</v>
      </c>
      <c r="C15" s="5" t="n">
        <v>13086</v>
      </c>
      <c r="D15" s="5" t="n">
        <v>15998</v>
      </c>
    </row>
    <row r="16">
      <c r="A16" t="inlineStr">
        <is>
          <t>Income taxes</t>
        </is>
      </c>
      <c r="B16" s="4" t="n">
        <v>2249</v>
      </c>
      <c r="C16" s="4" t="n">
        <v>2437</v>
      </c>
      <c r="D16" s="4" t="n">
        <v>2861</v>
      </c>
    </row>
    <row r="17">
      <c r="A17" s="2" t="inlineStr">
        <is>
          <t>Consolidated Net Income</t>
        </is>
      </c>
      <c r="B17" s="5" t="n">
        <v>10703</v>
      </c>
      <c r="C17" s="5" t="n">
        <v>10649</v>
      </c>
      <c r="D17" s="5" t="n">
        <v>13137</v>
      </c>
    </row>
    <row r="18">
      <c r="A18" t="inlineStr">
        <is>
          <t>Net Income (Loss) Attributable to Noncontrolling Interest</t>
        </is>
      </c>
      <c r="B18" s="4" t="n">
        <v>-11</v>
      </c>
      <c r="C18" s="4" t="n">
        <v>18</v>
      </c>
      <c r="D18" s="4" t="n">
        <v>30</v>
      </c>
    </row>
    <row r="19">
      <c r="A19" s="2" t="inlineStr">
        <is>
          <t>Net Income Attributable to Shareowners of The Coca-Cola Company</t>
        </is>
      </c>
      <c r="B19" s="5" t="n">
        <v>10714</v>
      </c>
      <c r="C19" s="5" t="n">
        <v>10631</v>
      </c>
      <c r="D19" s="5" t="n">
        <v>13107</v>
      </c>
    </row>
    <row r="20">
      <c r="A20" t="inlineStr">
        <is>
          <t>Basic Net Income Per Share</t>
        </is>
      </c>
      <c r="B20" s="7" t="n">
        <v>2.48</v>
      </c>
      <c r="C20" s="7" t="n">
        <v>2.47</v>
      </c>
      <c r="D20" s="7" t="n">
        <v>3.05</v>
      </c>
    </row>
    <row r="21">
      <c r="A21" t="inlineStr">
        <is>
          <t>Diluted Net Income Per Share</t>
        </is>
      </c>
      <c r="B21" s="7" t="n">
        <v>2.47</v>
      </c>
      <c r="C21" s="7" t="n">
        <v>2.46</v>
      </c>
      <c r="D21" s="7" t="n">
        <v>3.04</v>
      </c>
    </row>
    <row r="22">
      <c r="A22" t="inlineStr">
        <is>
          <t>Average Shares Outstanding — Basic</t>
        </is>
      </c>
      <c r="B22" s="4" t="n">
        <v>4323</v>
      </c>
      <c r="C22" s="4" t="n">
        <v>4309</v>
      </c>
      <c r="D22" s="4" t="n">
        <v>4303</v>
      </c>
    </row>
    <row r="23">
      <c r="A23" t="inlineStr">
        <is>
          <t>Effect of dilutive securities</t>
        </is>
      </c>
      <c r="B23" s="4" t="n">
        <v>16</v>
      </c>
      <c r="C23" s="4" t="n">
        <v>11</v>
      </c>
      <c r="D23" s="4" t="n">
        <v>10</v>
      </c>
    </row>
    <row r="24">
      <c r="A24" t="inlineStr">
        <is>
          <t>Average Shares Outstanding — Diluted</t>
        </is>
      </c>
      <c r="B24" s="4" t="n">
        <v>4339</v>
      </c>
      <c r="C24" s="4" t="n">
        <v>4320</v>
      </c>
      <c r="D24" s="4" t="n">
        <v>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41"/>
  <sheetViews>
    <sheetView workbookViewId="0">
      <selection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</cols>
  <sheetData>
    <row r="2">
      <c r="A2" s="1" t="inlineStr">
        <is>
          <t>CONSOLIDATED STATEMENTS OF CASH FLOWS</t>
        </is>
      </c>
    </row>
    <row r="4">
      <c r="A4" s="2" t="inlineStr">
        <is>
          <t>CONSOLIDATED STATEMENTS OF CASH FLOWS - USD ($)</t>
        </is>
      </c>
      <c r="B4" s="3" t="inlineStr">
        <is>
          <t>Dec. 31, 2023</t>
        </is>
      </c>
      <c r="C4" s="3" t="inlineStr">
        <is>
          <t>Dec. 31, 2024</t>
        </is>
      </c>
      <c r="D4" s="3" t="inlineStr">
        <is>
          <t>Dec. 31, 2025</t>
        </is>
      </c>
    </row>
    <row r="5">
      <c r="A5" s="2" t="inlineStr">
        <is>
          <t>OPERATING ACTIVITIES</t>
        </is>
      </c>
    </row>
    <row r="6">
      <c r="A6" t="inlineStr">
        <is>
          <t>Consolidated Net Income</t>
        </is>
      </c>
      <c r="B6" s="4" t="n">
        <v>10703</v>
      </c>
      <c r="C6" s="4" t="n">
        <v>10649</v>
      </c>
      <c r="D6" s="4" t="n">
        <v>13137</v>
      </c>
    </row>
    <row r="7">
      <c r="A7" t="inlineStr">
        <is>
          <t>Depreciation and amortization</t>
        </is>
      </c>
      <c r="B7" s="4" t="n">
        <v>1128</v>
      </c>
      <c r="C7" s="4" t="n">
        <v>1075</v>
      </c>
      <c r="D7" s="4" t="n">
        <v>1050</v>
      </c>
    </row>
    <row r="8">
      <c r="A8" t="inlineStr">
        <is>
          <t>Stock-based compensation expense</t>
        </is>
      </c>
      <c r="B8" s="4" t="n">
        <v>254</v>
      </c>
      <c r="C8" s="4" t="n">
        <v>286</v>
      </c>
      <c r="D8" s="4" t="n">
        <v>279</v>
      </c>
    </row>
    <row r="9">
      <c r="A9" t="inlineStr">
        <is>
          <t>Deferred income taxes</t>
        </is>
      </c>
      <c r="B9" s="4" t="n">
        <v>-2</v>
      </c>
      <c r="C9" s="4" t="n">
        <v>-11</v>
      </c>
      <c r="D9" s="4" t="n">
        <v>517</v>
      </c>
    </row>
    <row r="10">
      <c r="A10" t="inlineStr">
        <is>
          <t>Equity (income) loss — net of dividends</t>
        </is>
      </c>
      <c r="B10" s="4" t="n">
        <v>-1019</v>
      </c>
      <c r="C10" s="4" t="n">
        <v>-802</v>
      </c>
      <c r="D10" s="4" t="n">
        <v>-1038</v>
      </c>
    </row>
    <row r="11">
      <c r="A11" t="inlineStr">
        <is>
          <t>Foreign currency adjustments</t>
        </is>
      </c>
      <c r="B11" s="4" t="n">
        <v>175</v>
      </c>
      <c r="C11" s="4" t="n">
        <v>-110</v>
      </c>
      <c r="D11" s="4" t="n">
        <v>191</v>
      </c>
    </row>
    <row r="12">
      <c r="A12" t="inlineStr">
        <is>
          <t>Significant (gains) losses — net</t>
        </is>
      </c>
      <c r="B12" s="4" t="n">
        <v>-492</v>
      </c>
      <c r="C12" s="4" t="n">
        <v>-1737</v>
      </c>
      <c r="D12" s="4" t="n">
        <v>-713</v>
      </c>
    </row>
    <row r="13">
      <c r="A13" t="inlineStr">
        <is>
          <t>Other operating charges</t>
        </is>
      </c>
      <c r="B13" s="4" t="n">
        <v>1741</v>
      </c>
      <c r="C13" s="4" t="n">
        <v>4000</v>
      </c>
      <c r="D13" s="4" t="n">
        <v>1052</v>
      </c>
    </row>
    <row r="14">
      <c r="A14" t="inlineStr">
        <is>
          <t>Other items</t>
        </is>
      </c>
      <c r="B14" s="4" t="n">
        <v>-43</v>
      </c>
      <c r="C14" s="4" t="n">
        <v>-311</v>
      </c>
      <c r="D14" s="4" t="n">
        <v>141</v>
      </c>
    </row>
    <row r="15">
      <c r="A15" t="inlineStr">
        <is>
          <t>Net change in operating assets and liabilities</t>
        </is>
      </c>
      <c r="B15" s="4" t="n">
        <v>-846</v>
      </c>
      <c r="C15" s="4" t="n">
        <v>-6234</v>
      </c>
      <c r="D15" s="4" t="n">
        <v>-7208</v>
      </c>
    </row>
    <row r="16">
      <c r="A16" s="2" t="inlineStr">
        <is>
          <t>Net Cash Provided by Operating Activities</t>
        </is>
      </c>
      <c r="B16" s="5" t="n">
        <v>11599</v>
      </c>
      <c r="C16" s="5" t="n">
        <v>6805</v>
      </c>
      <c r="D16" s="5" t="n">
        <v>7408</v>
      </c>
    </row>
    <row r="17">
      <c r="A17" s="2" t="inlineStr">
        <is>
          <t>INVESTING ACTIVITIES</t>
        </is>
      </c>
    </row>
    <row r="18">
      <c r="A18" t="inlineStr">
        <is>
          <t>Purchases of investments</t>
        </is>
      </c>
      <c r="B18" s="4" t="n">
        <v>-6698</v>
      </c>
      <c r="C18" s="4" t="n">
        <v>-5640</v>
      </c>
      <c r="D18" s="4" t="n">
        <v>-6160</v>
      </c>
    </row>
    <row r="19">
      <c r="A19" t="inlineStr">
        <is>
          <t>Proceeds from disposals of investments</t>
        </is>
      </c>
      <c r="B19" s="4" t="n">
        <v>4354</v>
      </c>
      <c r="C19" s="4" t="n">
        <v>6589</v>
      </c>
      <c r="D19" s="4" t="n">
        <v>4665</v>
      </c>
    </row>
    <row r="20">
      <c r="A20" t="inlineStr">
        <is>
          <t>Acquisitions of businesses, equity method investments and nonmarketable securities</t>
        </is>
      </c>
      <c r="B20" s="4" t="n">
        <v>-62</v>
      </c>
      <c r="C20" s="4" t="n">
        <v>-315</v>
      </c>
      <c r="D20" s="4" t="n">
        <v>-461</v>
      </c>
    </row>
    <row r="21">
      <c r="A21" t="inlineStr">
        <is>
          <t>Proceeds from disposals of businesses, equity method investments and nonmarketable securities</t>
        </is>
      </c>
      <c r="B21" s="4" t="n">
        <v>430</v>
      </c>
      <c r="C21" s="4" t="n">
        <v>3485</v>
      </c>
      <c r="D21" s="4" t="n">
        <v>3567</v>
      </c>
    </row>
    <row r="22">
      <c r="A22" t="inlineStr">
        <is>
          <t>Purchases of property, plant and equipment</t>
        </is>
      </c>
      <c r="B22" s="4" t="n">
        <v>-1852</v>
      </c>
      <c r="C22" s="4" t="n">
        <v>-2064</v>
      </c>
      <c r="D22" s="4" t="n">
        <v>-2112</v>
      </c>
    </row>
    <row r="23">
      <c r="A23" t="inlineStr">
        <is>
          <t>Proceeds from disposals of property, plant and equipment</t>
        </is>
      </c>
      <c r="B23" s="4" t="n">
        <v>74</v>
      </c>
      <c r="C23" s="4" t="n">
        <v>40</v>
      </c>
      <c r="D23" s="4" t="n">
        <v>13</v>
      </c>
    </row>
    <row r="24">
      <c r="A24" t="inlineStr">
        <is>
          <t>Collateral (paid) received associated with hedging activities — net</t>
        </is>
      </c>
      <c r="B24" s="4" t="n">
        <v>366</v>
      </c>
      <c r="C24" s="4" t="n">
        <v>235</v>
      </c>
      <c r="D24" s="4" t="n">
        <v>330</v>
      </c>
    </row>
    <row r="25">
      <c r="A25" t="inlineStr">
        <is>
          <t>Other investing activities</t>
        </is>
      </c>
      <c r="B25" s="4" t="n">
        <v>39</v>
      </c>
      <c r="C25" s="4" t="n">
        <v>194</v>
      </c>
      <c r="D25" s="4" t="n">
        <v>91</v>
      </c>
    </row>
    <row r="26">
      <c r="A26" s="2" t="inlineStr">
        <is>
          <t>Net Cash Provided by (Used in) Investing Activities</t>
        </is>
      </c>
      <c r="B26" s="5" t="n">
        <v>-3349</v>
      </c>
      <c r="C26" s="5" t="n">
        <v>2524</v>
      </c>
      <c r="D26" s="5" t="n">
        <v>-67</v>
      </c>
    </row>
    <row r="27">
      <c r="A27" s="2" t="inlineStr">
        <is>
          <t>FINANCING ACTIVITIES</t>
        </is>
      </c>
    </row>
    <row r="28">
      <c r="A28" t="inlineStr">
        <is>
          <t>Issuances of loans, notes payable and long-term debt</t>
        </is>
      </c>
      <c r="B28" s="4" t="n">
        <v>6891</v>
      </c>
      <c r="C28" s="4" t="n">
        <v>12061</v>
      </c>
      <c r="D28" s="4" t="n">
        <v>4980</v>
      </c>
    </row>
    <row r="29">
      <c r="A29" t="inlineStr">
        <is>
          <t>Payments of loans, notes payable and long-term debt</t>
        </is>
      </c>
      <c r="B29" s="4" t="n">
        <v>-5034</v>
      </c>
      <c r="C29" s="4" t="n">
        <v>-9533</v>
      </c>
      <c r="D29" s="4" t="n">
        <v>-4967</v>
      </c>
    </row>
    <row r="30">
      <c r="A30" t="inlineStr">
        <is>
          <t>Issuances of stock</t>
        </is>
      </c>
      <c r="B30" s="4" t="n">
        <v>539</v>
      </c>
      <c r="C30" s="4" t="n">
        <v>747</v>
      </c>
      <c r="D30" s="4" t="n">
        <v>313</v>
      </c>
    </row>
    <row r="31">
      <c r="A31" t="inlineStr">
        <is>
          <t>Purchases of stock for treasury</t>
        </is>
      </c>
      <c r="B31" s="4" t="n">
        <v>-2289</v>
      </c>
      <c r="C31" s="4" t="n">
        <v>-1795</v>
      </c>
      <c r="D31" s="4" t="n">
        <v>-746</v>
      </c>
    </row>
    <row r="32">
      <c r="A32" t="inlineStr">
        <is>
          <t>Dividends</t>
        </is>
      </c>
      <c r="B32" s="4" t="n">
        <v>-7952</v>
      </c>
      <c r="C32" s="4" t="n">
        <v>-8359</v>
      </c>
      <c r="D32" s="4" t="n">
        <v>-8779</v>
      </c>
    </row>
    <row r="33">
      <c r="A33" t="inlineStr">
        <is>
          <t>Proceeds from Noncontrolling Interests</t>
        </is>
      </c>
      <c r="B33" s="4" t="n">
        <v>0</v>
      </c>
      <c r="C33" s="4" t="n">
        <v>0</v>
      </c>
      <c r="D33" s="4" t="n">
        <v>1338</v>
      </c>
    </row>
    <row r="34">
      <c r="A34" t="inlineStr">
        <is>
          <t>Other financing activities</t>
        </is>
      </c>
      <c r="B34" s="4" t="n">
        <v>-465</v>
      </c>
      <c r="C34" s="4" t="n">
        <v>-31</v>
      </c>
      <c r="D34" s="4" t="n">
        <v>-279</v>
      </c>
    </row>
    <row r="35">
      <c r="A35" s="2" t="inlineStr">
        <is>
          <t>Net Cash Provided by (Used in) Financing Activities</t>
        </is>
      </c>
      <c r="B35" s="5" t="n">
        <v>-8310</v>
      </c>
      <c r="C35" s="5" t="n">
        <v>-6910</v>
      </c>
      <c r="D35" s="5" t="n">
        <v>-8140</v>
      </c>
    </row>
    <row r="36">
      <c r="A36" t="inlineStr">
        <is>
          <t>Effect of Exchange Rate Changes on Cash, Cash Equivalents, Restricted Cash</t>
        </is>
      </c>
      <c r="B36" s="4" t="n">
        <v>-73</v>
      </c>
      <c r="C36" s="4" t="n">
        <v>-623</v>
      </c>
      <c r="D36" s="4" t="n">
        <v>321</v>
      </c>
    </row>
    <row r="37">
      <c r="A37" s="2" t="inlineStr">
        <is>
          <t>Net increase (decrease) in cash, cash equivalents, restricted cash</t>
        </is>
      </c>
      <c r="B37" s="5" t="n">
        <v>-133</v>
      </c>
      <c r="C37" s="5" t="n">
        <v>1796</v>
      </c>
      <c r="D37" s="5" t="n">
        <v>-478</v>
      </c>
    </row>
    <row r="38">
      <c r="A38" t="inlineStr">
        <is>
          <t>Cash, cash equivalents, restricted cash at beginning of year</t>
        </is>
      </c>
      <c r="B38" s="4" t="n">
        <v>9825</v>
      </c>
      <c r="C38" s="4" t="n">
        <v>9692</v>
      </c>
      <c r="D38" s="4" t="n">
        <v>11488</v>
      </c>
    </row>
    <row r="39">
      <c r="A39" s="2" t="inlineStr">
        <is>
          <t>Cash, Cash Equivalents, Restricted Cash at End of Year</t>
        </is>
      </c>
      <c r="B39" s="5" t="n">
        <v>9692</v>
      </c>
      <c r="C39" s="5" t="n">
        <v>11488</v>
      </c>
      <c r="D39" s="5" t="n">
        <v>11010</v>
      </c>
    </row>
    <row r="40">
      <c r="A40" t="inlineStr">
        <is>
          <t>Restricted Cash and Restricted Cash Equivalents</t>
        </is>
      </c>
      <c r="B40" s="4" t="n">
        <v>326</v>
      </c>
      <c r="C40" s="4" t="n">
        <v>660</v>
      </c>
      <c r="D40" s="4" t="n">
        <v>740</v>
      </c>
    </row>
    <row r="41">
      <c r="A41" t="inlineStr">
        <is>
          <t>Cash and cash equivalents</t>
        </is>
      </c>
      <c r="B41" s="4" t="n">
        <v>9366</v>
      </c>
      <c r="C41" s="4" t="n">
        <v>10828</v>
      </c>
      <c r="D41" s="4" t="n">
        <v>10270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2026-08-09T00:03:55Z</dcterms:created>
  <dcterms:modified xmlns:dcterms="http://purl.org/dc/terms/" xmlns:xsi="http://www.w3.org/2001/XMLSchema-instance" xsi:type="dcterms:W3CDTF">2026-08-09T00:03:55Z</dcterms:modified>
</cp:coreProperties>
</file>