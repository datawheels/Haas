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s" sheetId="1" state="visible" r:id="rId1"/>
    <sheet xmlns:r="http://schemas.openxmlformats.org/officeDocument/2006/relationships" name="Consolidated Statements of Oper" sheetId="2" state="visible" r:id="rId2"/>
    <sheet xmlns:r="http://schemas.openxmlformats.org/officeDocument/2006/relationships" name="Consolidated Statements of Ca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3" fontId="0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51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</cols>
  <sheetData>
    <row r="2">
      <c r="A2" s="1" t="inlineStr">
        <is>
          <t>Celsius Balance sheet</t>
        </is>
      </c>
    </row>
    <row r="4">
      <c r="A4" s="2" t="inlineStr">
        <is>
          <t>Consolidated Balance Sheets - USD ($) $ in Thousands</t>
        </is>
      </c>
      <c r="B4" s="3" t="inlineStr">
        <is>
          <t>Dec. 31, 2024</t>
        </is>
      </c>
      <c r="C4" s="3" t="inlineStr">
        <is>
          <t>Dec. 31, 2025</t>
        </is>
      </c>
    </row>
    <row r="5">
      <c r="A5" s="2" t="inlineStr">
        <is>
          <t>Current assets:</t>
        </is>
      </c>
    </row>
    <row r="6">
      <c r="A6" t="inlineStr">
        <is>
          <t>Cash and cash equivalents</t>
        </is>
      </c>
      <c r="B6" s="4" t="n">
        <v>890190</v>
      </c>
      <c r="C6" s="4" t="n">
        <v>398866</v>
      </c>
    </row>
    <row r="7">
      <c r="A7" t="inlineStr">
        <is>
          <t>Restricted cash</t>
        </is>
      </c>
      <c r="B7" s="4" t="n">
        <v>0</v>
      </c>
      <c r="C7" s="4" t="n">
        <v>141121</v>
      </c>
    </row>
    <row r="8">
      <c r="A8" t="inlineStr">
        <is>
          <t>Accounts receivable-net</t>
        </is>
      </c>
      <c r="B8" s="4" t="n">
        <v>270342</v>
      </c>
      <c r="C8" s="4" t="n">
        <v>755499</v>
      </c>
    </row>
    <row r="9">
      <c r="A9" t="inlineStr">
        <is>
          <t>Inventories-net</t>
        </is>
      </c>
      <c r="B9" s="4" t="n">
        <v>131165</v>
      </c>
      <c r="C9" s="4" t="n">
        <v>337698</v>
      </c>
    </row>
    <row r="10">
      <c r="A10" t="inlineStr">
        <is>
          <t>Prepaid expenses and other current assets</t>
        </is>
      </c>
      <c r="B10" s="4" t="n">
        <v>18759</v>
      </c>
      <c r="C10" s="4" t="n">
        <v>128806</v>
      </c>
    </row>
    <row r="11">
      <c r="A11" t="inlineStr">
        <is>
          <t>Deferred other costs-current</t>
        </is>
      </c>
      <c r="B11" s="4" t="n">
        <v>14124</v>
      </c>
      <c r="C11" s="4" t="n">
        <v>49164</v>
      </c>
    </row>
    <row r="12">
      <c r="A12" s="2" t="inlineStr">
        <is>
          <t>Total current assets</t>
        </is>
      </c>
      <c r="B12" s="5" t="n">
        <v>1324580</v>
      </c>
      <c r="C12" s="5" t="n">
        <v>1811154</v>
      </c>
    </row>
    <row r="13">
      <c r="A13" t="inlineStr">
        <is>
          <t>Property, plant and equipment-net</t>
        </is>
      </c>
      <c r="B13" s="4" t="n">
        <v>55602</v>
      </c>
      <c r="C13" s="4" t="n">
        <v>87910</v>
      </c>
    </row>
    <row r="14">
      <c r="A14" t="inlineStr">
        <is>
          <t>Goodwill</t>
        </is>
      </c>
      <c r="B14" s="4" t="n">
        <v>71582</v>
      </c>
      <c r="C14" s="4" t="n">
        <v>917560</v>
      </c>
    </row>
    <row r="15">
      <c r="A15" t="inlineStr">
        <is>
          <t>Intangible assets, net - brands</t>
        </is>
      </c>
      <c r="B15" s="4" t="n">
        <v>907</v>
      </c>
      <c r="C15" s="4" t="n">
        <v>1280311</v>
      </c>
    </row>
    <row r="16">
      <c r="A16" t="inlineStr">
        <is>
          <t>Intangible assets, net - customer relationships</t>
        </is>
      </c>
      <c r="B16" s="4" t="n">
        <v>11306</v>
      </c>
      <c r="C16" s="4" t="n">
        <v>111604</v>
      </c>
    </row>
    <row r="17">
      <c r="A17" t="inlineStr">
        <is>
          <t>Deferred other costs-non-current</t>
        </is>
      </c>
      <c r="B17" s="4" t="n">
        <v>234215</v>
      </c>
      <c r="C17" s="4" t="n">
        <v>771635</v>
      </c>
    </row>
    <row r="18">
      <c r="A18" t="inlineStr">
        <is>
          <t>Deferred tax assets</t>
        </is>
      </c>
      <c r="B18" s="4" t="n">
        <v>38699</v>
      </c>
      <c r="C18" s="4" t="n">
        <v>96013</v>
      </c>
    </row>
    <row r="19">
      <c r="A19" t="inlineStr">
        <is>
          <t>Other long-term assets</t>
        </is>
      </c>
      <c r="B19" s="4" t="n">
        <v>29990</v>
      </c>
      <c r="C19" s="4" t="n">
        <v>43434</v>
      </c>
    </row>
    <row r="20">
      <c r="A20" s="2" t="inlineStr">
        <is>
          <t>Total Assets</t>
        </is>
      </c>
      <c r="B20" s="5" t="n">
        <v>1766881</v>
      </c>
      <c r="C20" s="5" t="n">
        <v>5119621</v>
      </c>
    </row>
    <row r="21">
      <c r="A21" s="2" t="inlineStr">
        <is>
          <t>Current liabilities:</t>
        </is>
      </c>
    </row>
    <row r="22">
      <c r="A22" t="inlineStr">
        <is>
          <t>Accounts payable</t>
        </is>
      </c>
      <c r="B22" s="4" t="n">
        <v>41287</v>
      </c>
      <c r="C22" s="4" t="n">
        <v>137930</v>
      </c>
    </row>
    <row r="23">
      <c r="A23" t="inlineStr">
        <is>
          <t>Accrued expenses</t>
        </is>
      </c>
      <c r="B23" s="4" t="n">
        <v>148780</v>
      </c>
      <c r="C23" s="4" t="n">
        <v>230721</v>
      </c>
    </row>
    <row r="24">
      <c r="A24" t="inlineStr">
        <is>
          <t>Income taxes payable</t>
        </is>
      </c>
      <c r="B24" s="4" t="n">
        <v>10834</v>
      </c>
      <c r="C24" s="4" t="n">
        <v>49612</v>
      </c>
    </row>
    <row r="25">
      <c r="A25" t="inlineStr">
        <is>
          <t>Accrued distributor termination fees</t>
        </is>
      </c>
      <c r="B25" s="4" t="n">
        <v>0</v>
      </c>
      <c r="C25" s="4" t="n">
        <v>264088</v>
      </c>
    </row>
    <row r="26">
      <c r="A26" t="inlineStr">
        <is>
          <t>Accrued promotional allowance</t>
        </is>
      </c>
      <c r="B26" s="4" t="n">
        <v>135948</v>
      </c>
      <c r="C26" s="4" t="n">
        <v>307922</v>
      </c>
    </row>
    <row r="27">
      <c r="A27" t="inlineStr">
        <is>
          <t>Contingent consideration</t>
        </is>
      </c>
      <c r="B27" s="4" t="n">
        <v>0</v>
      </c>
      <c r="C27" s="4" t="n">
        <v>25000</v>
      </c>
    </row>
    <row r="28">
      <c r="A28" t="inlineStr">
        <is>
          <t>Deferred revenue-current</t>
        </is>
      </c>
      <c r="B28" s="4" t="n">
        <v>9513</v>
      </c>
      <c r="C28" s="4" t="n">
        <v>26988</v>
      </c>
    </row>
    <row r="29">
      <c r="A29" t="inlineStr">
        <is>
          <t>Other current liabilities</t>
        </is>
      </c>
      <c r="B29" s="4" t="n">
        <v>19173</v>
      </c>
      <c r="C29" s="4" t="n">
        <v>36465</v>
      </c>
    </row>
    <row r="30">
      <c r="A30" s="2" t="inlineStr">
        <is>
          <t>Total current liabilities</t>
        </is>
      </c>
      <c r="B30" s="5" t="n">
        <v>365535</v>
      </c>
      <c r="C30" s="5" t="n">
        <v>1078726</v>
      </c>
    </row>
    <row r="31">
      <c r="A31" t="inlineStr">
        <is>
          <t>Long-term debt</t>
        </is>
      </c>
      <c r="B31" s="4" t="n">
        <v>0</v>
      </c>
      <c r="C31" s="4" t="n">
        <v>669926</v>
      </c>
    </row>
    <row r="32">
      <c r="A32" t="inlineStr">
        <is>
          <t>Deferred revenue-non-current</t>
        </is>
      </c>
      <c r="B32" s="4" t="n">
        <v>157714</v>
      </c>
      <c r="C32" s="4" t="n">
        <v>401155</v>
      </c>
    </row>
    <row r="33">
      <c r="A33" t="inlineStr">
        <is>
          <t>Other long-term liabilities</t>
        </is>
      </c>
      <c r="B33" s="4" t="n">
        <v>19215</v>
      </c>
      <c r="C33" s="4" t="n">
        <v>28372</v>
      </c>
    </row>
    <row r="34">
      <c r="A34" s="2" t="inlineStr">
        <is>
          <t>Total Liabilities</t>
        </is>
      </c>
      <c r="B34" s="5" t="n">
        <v>542464</v>
      </c>
      <c r="C34" s="5" t="n">
        <v>2178179</v>
      </c>
    </row>
    <row r="35">
      <c r="A35" s="2" t="inlineStr">
        <is>
          <t>Mezzanine equity:</t>
        </is>
      </c>
    </row>
    <row r="36">
      <c r="A36" t="inlineStr">
        <is>
          <t>Series A convertible preferred stock</t>
        </is>
      </c>
      <c r="B36" s="4" t="n">
        <v>824488</v>
      </c>
      <c r="C36" s="4" t="n">
        <v>852355</v>
      </c>
    </row>
    <row r="37">
      <c r="A37" t="inlineStr">
        <is>
          <t>Series B convertible preferred stock</t>
        </is>
      </c>
      <c r="B37" s="4" t="n">
        <v>0</v>
      </c>
      <c r="C37" s="4" t="n">
        <v>907620</v>
      </c>
    </row>
    <row r="38">
      <c r="A38" s="2" t="inlineStr">
        <is>
          <t>Stockholders' equity:</t>
        </is>
      </c>
    </row>
    <row r="39">
      <c r="A39" t="inlineStr">
        <is>
          <t>Common stock, $0.001 par value</t>
        </is>
      </c>
      <c r="B39" s="4" t="n">
        <v>79</v>
      </c>
      <c r="C39" s="4" t="n">
        <v>101</v>
      </c>
    </row>
    <row r="40">
      <c r="A40" t="inlineStr">
        <is>
          <t>Treasury stock, at cost</t>
        </is>
      </c>
      <c r="B40" s="4" t="n">
        <v>-2585</v>
      </c>
      <c r="C40" s="4" t="n">
        <v>-48226</v>
      </c>
    </row>
    <row r="41">
      <c r="A41" t="inlineStr">
        <is>
          <t>Additional paid-in capital</t>
        </is>
      </c>
      <c r="B41" s="4" t="n">
        <v>300164</v>
      </c>
      <c r="C41" s="4" t="n">
        <v>1050518</v>
      </c>
    </row>
    <row r="42">
      <c r="A42" t="inlineStr">
        <is>
          <t>Accumulated other comprehensive income (loss)</t>
        </is>
      </c>
      <c r="B42" s="4" t="n">
        <v>-3250</v>
      </c>
      <c r="C42" s="4" t="n">
        <v>3162</v>
      </c>
    </row>
    <row r="43">
      <c r="A43" t="inlineStr">
        <is>
          <t>Retained earnings</t>
        </is>
      </c>
      <c r="B43" s="4" t="n">
        <v>105521</v>
      </c>
      <c r="C43" s="4" t="n">
        <v>175912</v>
      </c>
    </row>
    <row r="44">
      <c r="A44" s="2" t="inlineStr">
        <is>
          <t>Total Stockholders' Equity</t>
        </is>
      </c>
      <c r="B44" s="5" t="n">
        <v>399929</v>
      </c>
      <c r="C44" s="5" t="n">
        <v>1181467</v>
      </c>
    </row>
    <row r="45">
      <c r="A45" s="2" t="inlineStr">
        <is>
          <t>Total Liabilities, Mezzanine Equity and Stockholders’ Equity</t>
        </is>
      </c>
      <c r="B45" s="5" t="n">
        <v>1766881</v>
      </c>
      <c r="C45" s="5" t="n">
        <v>5119621</v>
      </c>
    </row>
    <row r="48">
      <c r="A48" s="2" t="inlineStr">
        <is>
          <t>Days AR</t>
        </is>
      </c>
      <c r="C48" s="6">
        <f>AVERAGE(B8:C8)/('Consolidated Statements of Oper'!D5/365)</f>
        <v/>
      </c>
    </row>
    <row r="49">
      <c r="A49" s="2" t="inlineStr">
        <is>
          <t>Days Inventory</t>
        </is>
      </c>
      <c r="C49" s="6">
        <f>AVERAGE(B9:C9)/('Consolidated Statements of Oper'!D6/365)</f>
        <v/>
      </c>
    </row>
    <row r="50">
      <c r="A50" s="2" t="inlineStr">
        <is>
          <t>Days AP</t>
        </is>
      </c>
      <c r="C50" s="6">
        <f>AVERAGE(B22:C22)/('Consolidated Statements of Oper'!D6/365)</f>
        <v/>
      </c>
    </row>
    <row r="51">
      <c r="A51" s="2" t="inlineStr">
        <is>
          <t>Days AR plus Days Inventory minus Days AP</t>
        </is>
      </c>
      <c r="C51" s="6">
        <f>C48+C49-C50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9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Operations and Comprehensive Income (Loss)</t>
        </is>
      </c>
    </row>
    <row r="4">
      <c r="A4" s="2" t="inlineStr">
        <is>
          <t>Consolidated Statements of Operations and Comprehensive Income (Loss)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t="inlineStr">
        <is>
          <t>Revenue</t>
        </is>
      </c>
      <c r="B5" s="4" t="n">
        <v>1318014</v>
      </c>
      <c r="C5" s="4" t="n">
        <v>1355630</v>
      </c>
      <c r="D5" s="4" t="n">
        <v>2515269</v>
      </c>
    </row>
    <row r="6">
      <c r="A6" t="inlineStr">
        <is>
          <t>Cost of revenue</t>
        </is>
      </c>
      <c r="B6" s="4" t="n">
        <v>684875</v>
      </c>
      <c r="C6" s="4" t="n">
        <v>675423</v>
      </c>
      <c r="D6" s="4" t="n">
        <v>1247936</v>
      </c>
    </row>
    <row r="7">
      <c r="A7" s="2" t="inlineStr">
        <is>
          <t>Gross profit</t>
        </is>
      </c>
      <c r="B7" s="5" t="n">
        <v>633139</v>
      </c>
      <c r="C7" s="5" t="n">
        <v>680207</v>
      </c>
      <c r="D7" s="5" t="n">
        <v>1267333</v>
      </c>
    </row>
    <row r="8">
      <c r="A8" t="inlineStr">
        <is>
          <t>Selling, general and administrative expenses</t>
        </is>
      </c>
      <c r="B8" s="4" t="n">
        <v>366773</v>
      </c>
      <c r="C8" s="4" t="n">
        <v>524479</v>
      </c>
      <c r="D8" s="4" t="n">
        <v>798810</v>
      </c>
    </row>
    <row r="9">
      <c r="A9" t="inlineStr">
        <is>
          <t>Distributor termination fees</t>
        </is>
      </c>
      <c r="B9" s="4" t="n">
        <v>0</v>
      </c>
      <c r="C9" s="4" t="n">
        <v>0</v>
      </c>
      <c r="D9" s="4" t="n">
        <v>327461</v>
      </c>
    </row>
    <row r="10">
      <c r="A10" s="2" t="inlineStr">
        <is>
          <t>Income from operations</t>
        </is>
      </c>
      <c r="B10" s="5" t="n">
        <v>266366</v>
      </c>
      <c r="C10" s="5" t="n">
        <v>155728</v>
      </c>
      <c r="D10" s="5" t="n">
        <v>141062</v>
      </c>
    </row>
    <row r="11">
      <c r="A11" s="2" t="inlineStr">
        <is>
          <t>Other (expense) income:</t>
        </is>
      </c>
    </row>
    <row r="12">
      <c r="A12" t="inlineStr">
        <is>
          <t>Interest income</t>
        </is>
      </c>
      <c r="B12" s="4" t="n">
        <v>26629</v>
      </c>
      <c r="C12" s="4" t="n">
        <v>39263</v>
      </c>
      <c r="D12" s="4" t="n">
        <v>21085</v>
      </c>
    </row>
    <row r="13">
      <c r="A13" t="inlineStr">
        <is>
          <t>Interest expense</t>
        </is>
      </c>
      <c r="B13" s="4" t="n">
        <v>0</v>
      </c>
      <c r="C13" s="4" t="n">
        <v>0</v>
      </c>
      <c r="D13" s="4" t="n">
        <v>-48977</v>
      </c>
    </row>
    <row r="14">
      <c r="A14" t="inlineStr">
        <is>
          <t>Other, net</t>
        </is>
      </c>
      <c r="B14" s="4" t="n">
        <v>-1246</v>
      </c>
      <c r="C14" s="4" t="n">
        <v>59</v>
      </c>
      <c r="D14" s="4" t="n">
        <v>11863</v>
      </c>
    </row>
    <row r="15">
      <c r="A15" s="2" t="inlineStr">
        <is>
          <t>Total other (expense) income</t>
        </is>
      </c>
      <c r="B15" s="5" t="n">
        <v>25383</v>
      </c>
      <c r="C15" s="5" t="n">
        <v>39322</v>
      </c>
      <c r="D15" s="5" t="n">
        <v>-16029</v>
      </c>
    </row>
    <row r="16">
      <c r="A16" t="inlineStr">
        <is>
          <t>Net income before provision for income taxes</t>
        </is>
      </c>
      <c r="B16" s="4" t="n">
        <v>291749</v>
      </c>
      <c r="C16" s="4" t="n">
        <v>195050</v>
      </c>
      <c r="D16" s="4" t="n">
        <v>125033</v>
      </c>
    </row>
    <row r="17">
      <c r="A17" t="inlineStr">
        <is>
          <t>Provision for income taxes</t>
        </is>
      </c>
      <c r="B17" s="4" t="n">
        <v>-64948</v>
      </c>
      <c r="C17" s="4" t="n">
        <v>-49976</v>
      </c>
      <c r="D17" s="4" t="n">
        <v>-17034</v>
      </c>
    </row>
    <row r="18">
      <c r="A18" s="2" t="inlineStr">
        <is>
          <t>Net income</t>
        </is>
      </c>
      <c r="B18" s="5" t="n">
        <v>226801</v>
      </c>
      <c r="C18" s="5" t="n">
        <v>145074</v>
      </c>
      <c r="D18" s="5" t="n">
        <v>107999</v>
      </c>
    </row>
    <row r="19">
      <c r="A19" t="inlineStr">
        <is>
          <t>Dividends on convertible preferred stock</t>
        </is>
      </c>
      <c r="B19" s="4" t="n">
        <v>-27462</v>
      </c>
      <c r="C19" s="4" t="n">
        <v>-27500</v>
      </c>
      <c r="D19" s="4" t="n">
        <v>-37608</v>
      </c>
    </row>
    <row r="20">
      <c r="A20" t="inlineStr">
        <is>
          <t>Income allocated to participating preferred stock</t>
        </is>
      </c>
      <c r="B20" s="4" t="n">
        <v>-17348</v>
      </c>
      <c r="C20" s="4" t="n">
        <v>-10117</v>
      </c>
      <c r="D20" s="4" t="n">
        <v>-6554</v>
      </c>
    </row>
    <row r="21">
      <c r="A21" s="2" t="inlineStr">
        <is>
          <t>Net income attributable to common stockholders</t>
        </is>
      </c>
      <c r="B21" s="5" t="n">
        <v>181991</v>
      </c>
      <c r="C21" s="5" t="n">
        <v>107457</v>
      </c>
      <c r="D21" s="5" t="n">
        <v>63837</v>
      </c>
    </row>
    <row r="22">
      <c r="A22" t="inlineStr">
        <is>
          <t>Foreign currency translation</t>
        </is>
      </c>
      <c r="B22" s="4" t="n">
        <v>1180</v>
      </c>
      <c r="C22" s="4" t="n">
        <v>-2549</v>
      </c>
      <c r="D22" s="4" t="n">
        <v>6412</v>
      </c>
    </row>
    <row r="23">
      <c r="A23" s="2" t="inlineStr">
        <is>
          <t>Comprehensive income</t>
        </is>
      </c>
      <c r="B23" s="5" t="n">
        <v>183171</v>
      </c>
      <c r="C23" s="5" t="n">
        <v>104908</v>
      </c>
      <c r="D23" s="5" t="n">
        <v>70249</v>
      </c>
    </row>
    <row r="24">
      <c r="A24" s="2" t="inlineStr">
        <is>
          <t>Earnings per share:</t>
        </is>
      </c>
    </row>
    <row r="25">
      <c r="A25" t="inlineStr">
        <is>
          <t>Basic (in USD per share)</t>
        </is>
      </c>
      <c r="B25" s="7" t="n">
        <v>0.79</v>
      </c>
      <c r="C25" s="7" t="n">
        <v>0.46</v>
      </c>
      <c r="D25" s="7" t="n">
        <v>0.25</v>
      </c>
    </row>
    <row r="26">
      <c r="A26" t="inlineStr">
        <is>
          <t>Diluted (in USD per share)</t>
        </is>
      </c>
      <c r="B26" s="7" t="n">
        <v>0.77</v>
      </c>
      <c r="C26" s="7" t="n">
        <v>0.45</v>
      </c>
      <c r="D26" s="7" t="n">
        <v>0.25</v>
      </c>
    </row>
    <row r="27">
      <c r="A27" s="2" t="inlineStr">
        <is>
          <t>Weighted average shares outstanding:</t>
        </is>
      </c>
    </row>
    <row r="28">
      <c r="A28" t="inlineStr">
        <is>
          <t>Basic (in shares)</t>
        </is>
      </c>
      <c r="B28" s="4" t="n">
        <v>230784</v>
      </c>
      <c r="C28" s="4" t="n">
        <v>233667</v>
      </c>
      <c r="D28" s="4" t="n">
        <v>252301</v>
      </c>
    </row>
    <row r="29">
      <c r="A29" t="inlineStr">
        <is>
          <t>Diluted (in shares)</t>
        </is>
      </c>
      <c r="B29" s="4" t="n">
        <v>236964</v>
      </c>
      <c r="C29" s="4" t="n">
        <v>237404</v>
      </c>
      <c r="D29" s="4" t="n">
        <v>254911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4"/>
  <sheetViews>
    <sheetView workbookViewId="0">
      <selection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</cols>
  <sheetData>
    <row r="2">
      <c r="A2" s="1" t="inlineStr">
        <is>
          <t>Consolidated Statements of Cash Flows</t>
        </is>
      </c>
    </row>
    <row r="4">
      <c r="A4" s="2" t="inlineStr">
        <is>
          <t>Consolidated Statements of Cash Flows - USD ($)</t>
        </is>
      </c>
      <c r="B4" s="3" t="inlineStr">
        <is>
          <t>Dec. 31, 2023</t>
        </is>
      </c>
      <c r="C4" s="3" t="inlineStr">
        <is>
          <t>Dec. 31, 2024</t>
        </is>
      </c>
      <c r="D4" s="3" t="inlineStr">
        <is>
          <t>Dec. 31, 2025</t>
        </is>
      </c>
    </row>
    <row r="5">
      <c r="A5" s="2" t="inlineStr">
        <is>
          <t>Cash flows from operating activities:</t>
        </is>
      </c>
    </row>
    <row r="6">
      <c r="A6" t="inlineStr">
        <is>
          <t>Net income</t>
        </is>
      </c>
      <c r="B6" s="4" t="n">
        <v>226801</v>
      </c>
      <c r="C6" s="4" t="n">
        <v>145074</v>
      </c>
      <c r="D6" s="4" t="n">
        <v>107999</v>
      </c>
    </row>
    <row r="7">
      <c r="A7" t="inlineStr">
        <is>
          <t>Depreciation and amortization</t>
        </is>
      </c>
      <c r="B7" s="4" t="n">
        <v>3226</v>
      </c>
      <c r="C7" s="4" t="n">
        <v>7274</v>
      </c>
      <c r="D7" s="4" t="n">
        <v>29451</v>
      </c>
    </row>
    <row r="8">
      <c r="A8" t="inlineStr">
        <is>
          <t>Allowance for credit losses</t>
        </is>
      </c>
      <c r="B8" s="4" t="n">
        <v>2128</v>
      </c>
      <c r="C8" s="4" t="n">
        <v>3294</v>
      </c>
      <c r="D8" s="4" t="n">
        <v>10600</v>
      </c>
    </row>
    <row r="9">
      <c r="A9" t="inlineStr">
        <is>
          <t>Amortization of deferred other costs</t>
        </is>
      </c>
      <c r="B9" s="4" t="n">
        <v>14124</v>
      </c>
      <c r="C9" s="4" t="n">
        <v>14124</v>
      </c>
      <c r="D9" s="4" t="n">
        <v>26326</v>
      </c>
    </row>
    <row r="10">
      <c r="A10" t="inlineStr">
        <is>
          <t>Inventory excess and obsolescence</t>
        </is>
      </c>
      <c r="B10" s="4" t="n">
        <v>7312</v>
      </c>
      <c r="C10" s="4" t="n">
        <v>19086</v>
      </c>
      <c r="D10" s="4" t="n">
        <v>29190</v>
      </c>
    </row>
    <row r="11">
      <c r="A11" t="inlineStr">
        <is>
          <t>Stock-based compensation expense</t>
        </is>
      </c>
      <c r="B11" s="4" t="n">
        <v>21226</v>
      </c>
      <c r="C11" s="4" t="n">
        <v>19591</v>
      </c>
      <c r="D11" s="4" t="n">
        <v>28050</v>
      </c>
    </row>
    <row r="12">
      <c r="A12" t="inlineStr">
        <is>
          <t>Deferred income taxes-net</t>
        </is>
      </c>
      <c r="B12" s="4" t="n">
        <v>-42055</v>
      </c>
      <c r="C12" s="4" t="n">
        <v>-9730</v>
      </c>
      <c r="D12" s="4" t="n">
        <v>-57336</v>
      </c>
    </row>
    <row r="13">
      <c r="A13" t="inlineStr">
        <is>
          <t>Change in fair value of contingent consideration</t>
        </is>
      </c>
      <c r="B13" s="4" t="n">
        <v>0</v>
      </c>
      <c r="C13" s="4" t="n">
        <v>0</v>
      </c>
      <c r="D13" s="4" t="n">
        <v>13800</v>
      </c>
    </row>
    <row r="14">
      <c r="A14" t="inlineStr">
        <is>
          <t>Loss on debt extinguishment</t>
        </is>
      </c>
      <c r="B14" s="4" t="n">
        <v>0</v>
      </c>
      <c r="C14" s="4" t="n">
        <v>0</v>
      </c>
      <c r="D14" s="4" t="n">
        <v>6003</v>
      </c>
    </row>
    <row r="15">
      <c r="A15" t="inlineStr">
        <is>
          <t>Other operating activities-net</t>
        </is>
      </c>
      <c r="B15" s="4" t="n">
        <v>1444</v>
      </c>
      <c r="C15" s="4" t="n">
        <v>1583</v>
      </c>
      <c r="D15" s="4" t="n">
        <v>-1687</v>
      </c>
    </row>
    <row r="16">
      <c r="A16" s="2" t="inlineStr">
        <is>
          <t>Changes in operating assets and liabilities:</t>
        </is>
      </c>
    </row>
    <row r="17">
      <c r="A17" t="inlineStr">
        <is>
          <t>Accounts and note receivable-net</t>
        </is>
      </c>
      <c r="B17" s="4" t="n">
        <v>-121558</v>
      </c>
      <c r="C17" s="4" t="n">
        <v>-87347</v>
      </c>
      <c r="D17" s="4" t="n">
        <v>-412091</v>
      </c>
    </row>
    <row r="18">
      <c r="A18" t="inlineStr">
        <is>
          <t>Inventories</t>
        </is>
      </c>
      <c r="B18" s="4" t="n">
        <v>-63299</v>
      </c>
      <c r="C18" s="4" t="n">
        <v>77190</v>
      </c>
      <c r="D18" s="4" t="n">
        <v>-129777</v>
      </c>
    </row>
    <row r="19">
      <c r="A19" t="inlineStr">
        <is>
          <t>Prepaid expenses and other current assets</t>
        </is>
      </c>
      <c r="B19" s="4" t="n">
        <v>-7980</v>
      </c>
      <c r="C19" s="4" t="n">
        <v>1074</v>
      </c>
      <c r="D19" s="4" t="n">
        <v>-108321</v>
      </c>
    </row>
    <row r="20">
      <c r="A20" t="inlineStr">
        <is>
          <t>Other long-term assets</t>
        </is>
      </c>
      <c r="B20" s="4" t="n">
        <v>-28</v>
      </c>
      <c r="C20" s="4" t="n">
        <v>-4862</v>
      </c>
      <c r="D20" s="4" t="n">
        <v>2857</v>
      </c>
    </row>
    <row r="21">
      <c r="A21" t="inlineStr">
        <is>
          <t>Accounts payable</t>
        </is>
      </c>
      <c r="B21" s="4" t="n">
        <v>5249</v>
      </c>
      <c r="C21" s="4" t="n">
        <v>-1170</v>
      </c>
      <c r="D21" s="4" t="n">
        <v>51252</v>
      </c>
    </row>
    <row r="22">
      <c r="A22" t="inlineStr">
        <is>
          <t>Accrued expenses</t>
        </is>
      </c>
      <c r="B22" s="4" t="n">
        <v>-8025</v>
      </c>
      <c r="C22" s="4" t="n">
        <v>85398</v>
      </c>
      <c r="D22" s="4" t="n">
        <v>45618</v>
      </c>
    </row>
    <row r="23">
      <c r="A23" t="inlineStr">
        <is>
          <t>Income taxes payable</t>
        </is>
      </c>
      <c r="B23" s="4" t="n">
        <v>48102</v>
      </c>
      <c r="C23" s="4" t="n">
        <v>-39536</v>
      </c>
      <c r="D23" s="4" t="n">
        <v>38750</v>
      </c>
    </row>
    <row r="24">
      <c r="A24" t="inlineStr">
        <is>
          <t>Accrued promotional allowance</t>
        </is>
      </c>
      <c r="B24" s="4" t="n">
        <v>63810</v>
      </c>
      <c r="C24" s="4" t="n">
        <v>36161</v>
      </c>
      <c r="D24" s="4" t="n">
        <v>153635</v>
      </c>
    </row>
    <row r="25">
      <c r="A25" t="inlineStr">
        <is>
          <t>Accrued distributor termination fees</t>
        </is>
      </c>
      <c r="B25" s="4" t="n">
        <v>-3739</v>
      </c>
      <c r="C25" s="4" t="n">
        <v>-248</v>
      </c>
      <c r="D25" s="4" t="n">
        <v>257595</v>
      </c>
    </row>
    <row r="26">
      <c r="A26" t="inlineStr">
        <is>
          <t>Other current liabilities</t>
        </is>
      </c>
      <c r="B26" s="4" t="n">
        <v>7305</v>
      </c>
      <c r="C26" s="4" t="n">
        <v>4920</v>
      </c>
      <c r="D26" s="4" t="n">
        <v>9937</v>
      </c>
    </row>
    <row r="27">
      <c r="A27" t="inlineStr">
        <is>
          <t>Deferred revenue</t>
        </is>
      </c>
      <c r="B27" s="4" t="n">
        <v>-12723</v>
      </c>
      <c r="C27" s="4" t="n">
        <v>-9513</v>
      </c>
      <c r="D27" s="4" t="n">
        <v>255110</v>
      </c>
    </row>
    <row r="28">
      <c r="A28" t="inlineStr">
        <is>
          <t>Other long-term liabilities</t>
        </is>
      </c>
      <c r="B28" s="4" t="n">
        <v>-102</v>
      </c>
      <c r="C28" s="4" t="n">
        <v>535</v>
      </c>
      <c r="D28" s="4" t="n">
        <v>2481</v>
      </c>
    </row>
    <row r="29">
      <c r="A29" s="2" t="inlineStr">
        <is>
          <t>Net cash provided by operating activities</t>
        </is>
      </c>
      <c r="B29" s="5" t="n">
        <v>141218</v>
      </c>
      <c r="C29" s="5" t="n">
        <v>262898</v>
      </c>
      <c r="D29" s="5" t="n">
        <v>359442</v>
      </c>
    </row>
    <row r="30">
      <c r="A30" s="2" t="inlineStr">
        <is>
          <t>Cash flows from investing activities:</t>
        </is>
      </c>
    </row>
    <row r="31">
      <c r="A31" t="inlineStr">
        <is>
          <t>Collections from note receivable</t>
        </is>
      </c>
      <c r="B31" s="4" t="n">
        <v>3233</v>
      </c>
      <c r="C31" s="4" t="n">
        <v>0</v>
      </c>
      <c r="D31" s="4" t="n">
        <v>0</v>
      </c>
    </row>
    <row r="32">
      <c r="A32" t="inlineStr">
        <is>
          <t>Purchase of property, plant and equipment</t>
        </is>
      </c>
      <c r="B32" s="4" t="n">
        <v>-17433</v>
      </c>
      <c r="C32" s="4" t="n">
        <v>-23390</v>
      </c>
      <c r="D32" s="4" t="n">
        <v>-36067</v>
      </c>
    </row>
    <row r="33">
      <c r="A33" t="inlineStr">
        <is>
          <t>Purchase of non-marketable equity securities</t>
        </is>
      </c>
      <c r="B33" s="4" t="n">
        <v>0</v>
      </c>
      <c r="C33" s="4" t="n">
        <v>-3000</v>
      </c>
      <c r="D33" s="4" t="n">
        <v>-10000</v>
      </c>
    </row>
    <row r="34">
      <c r="A34" t="inlineStr">
        <is>
          <t>Acquisition of Big Beverages, net of cash acquired</t>
        </is>
      </c>
      <c r="B34" s="4" t="n">
        <v>0</v>
      </c>
      <c r="C34" s="4" t="n">
        <v>-75336</v>
      </c>
      <c r="D34" s="4" t="n">
        <v>0</v>
      </c>
    </row>
    <row r="35">
      <c r="A35" t="inlineStr">
        <is>
          <t>Acquisition of Alani Nu, net of cash acquired</t>
        </is>
      </c>
      <c r="B35" s="4" t="n">
        <v>0</v>
      </c>
      <c r="C35" s="4" t="n">
        <v>0</v>
      </c>
      <c r="D35" s="4" t="n">
        <v>-1278769</v>
      </c>
    </row>
    <row r="36">
      <c r="A36" t="inlineStr">
        <is>
          <t>Net working capital estimate received from Pepsi (Rockstar)</t>
        </is>
      </c>
      <c r="B36" s="4" t="n">
        <v>0</v>
      </c>
      <c r="C36" s="4" t="n">
        <v>0</v>
      </c>
      <c r="D36" s="4" t="n">
        <v>29156</v>
      </c>
    </row>
    <row r="37">
      <c r="A37" s="2" t="inlineStr">
        <is>
          <t>Net cash used in investing activities</t>
        </is>
      </c>
      <c r="B37" s="5" t="n">
        <v>-14200</v>
      </c>
      <c r="C37" s="5" t="n">
        <v>-101726</v>
      </c>
      <c r="D37" s="5" t="n">
        <v>-1295680</v>
      </c>
    </row>
    <row r="38">
      <c r="A38" s="2" t="inlineStr">
        <is>
          <t>Cash flows from financing activities:</t>
        </is>
      </c>
    </row>
    <row r="39">
      <c r="A39" t="inlineStr">
        <is>
          <t>Cash dividends paid on preferred stock</t>
        </is>
      </c>
      <c r="B39" s="4" t="n">
        <v>-27462</v>
      </c>
      <c r="C39" s="4" t="n">
        <v>-27500</v>
      </c>
      <c r="D39" s="4" t="n">
        <v>-37608</v>
      </c>
    </row>
    <row r="40">
      <c r="A40" t="inlineStr">
        <is>
          <t>Repurchase of Common Stock related to employee tax withholdings</t>
        </is>
      </c>
      <c r="B40" s="4" t="n">
        <v>0</v>
      </c>
      <c r="C40" s="4" t="n">
        <v>-2261</v>
      </c>
      <c r="D40" s="4" t="n">
        <v>-5727</v>
      </c>
    </row>
    <row r="41">
      <c r="A41" t="inlineStr">
        <is>
          <t>Repurchase of Common Stock for Treasury</t>
        </is>
      </c>
      <c r="B41" s="4" t="n">
        <v>0</v>
      </c>
      <c r="C41" s="4" t="n">
        <v>0</v>
      </c>
      <c r="D41" s="4" t="n">
        <v>-39777</v>
      </c>
    </row>
    <row r="42">
      <c r="A42" t="inlineStr">
        <is>
          <t>Proceeds from term loan</t>
        </is>
      </c>
      <c r="B42" s="4" t="n">
        <v>0</v>
      </c>
      <c r="C42" s="4" t="n">
        <v>0</v>
      </c>
      <c r="D42" s="4" t="n">
        <v>900000</v>
      </c>
    </row>
    <row r="43">
      <c r="A43" t="inlineStr">
        <is>
          <t>Payments on term loan</t>
        </is>
      </c>
      <c r="B43" s="4" t="n">
        <v>0</v>
      </c>
      <c r="C43" s="4" t="n">
        <v>0</v>
      </c>
      <c r="D43" s="4" t="n">
        <v>-201750</v>
      </c>
    </row>
    <row r="44">
      <c r="A44" t="inlineStr">
        <is>
          <t>Payment of debt issuance costs and debt discount</t>
        </is>
      </c>
      <c r="B44" s="4" t="n">
        <v>0</v>
      </c>
      <c r="C44" s="4" t="n">
        <v>0</v>
      </c>
      <c r="D44" s="4" t="n">
        <v>-29659</v>
      </c>
    </row>
    <row r="45">
      <c r="A45" t="inlineStr">
        <is>
          <t>Payment of revolver fees</t>
        </is>
      </c>
      <c r="B45" s="4" t="n">
        <v>0</v>
      </c>
      <c r="C45" s="4" t="n">
        <v>0</v>
      </c>
      <c r="D45" s="4" t="n">
        <v>-2708</v>
      </c>
    </row>
    <row r="46">
      <c r="A46" t="inlineStr">
        <is>
          <t>Other financing activities-net</t>
        </is>
      </c>
      <c r="B46" s="4" t="n">
        <v>2241</v>
      </c>
      <c r="C46" s="4" t="n">
        <v>3795</v>
      </c>
      <c r="D46" s="4" t="n">
        <v>-7</v>
      </c>
    </row>
    <row r="47">
      <c r="A47" s="2" t="inlineStr">
        <is>
          <t>Net cash provided by (used in) financing activities</t>
        </is>
      </c>
      <c r="B47" s="5" t="n">
        <v>-25221</v>
      </c>
      <c r="C47" s="5" t="n">
        <v>-25966</v>
      </c>
      <c r="D47" s="5" t="n">
        <v>582764</v>
      </c>
    </row>
    <row r="48">
      <c r="A48" t="inlineStr">
        <is>
          <t>Effect on exchange rate changes on cash</t>
        </is>
      </c>
      <c r="B48" s="4" t="n">
        <v>1257</v>
      </c>
      <c r="C48" s="4" t="n">
        <v>-997</v>
      </c>
      <c r="D48" s="4" t="n">
        <v>3271</v>
      </c>
    </row>
    <row r="49">
      <c r="A49" s="2" t="inlineStr">
        <is>
          <t>Net (decrease) increase in cash, cash equivalents and restricted cash</t>
        </is>
      </c>
      <c r="B49" s="5" t="n">
        <v>103054</v>
      </c>
      <c r="C49" s="5" t="n">
        <v>134209</v>
      </c>
      <c r="D49" s="5" t="n">
        <v>-350203</v>
      </c>
    </row>
    <row r="50">
      <c r="A50" t="inlineStr">
        <is>
          <t>Cash, cash equivalents and restricted cash at beginning of the period</t>
        </is>
      </c>
      <c r="B50" s="4" t="n">
        <v>652927</v>
      </c>
      <c r="C50" s="4" t="n">
        <v>755981</v>
      </c>
      <c r="D50" s="4" t="n">
        <v>890190</v>
      </c>
    </row>
    <row r="51">
      <c r="A51" s="2" t="inlineStr">
        <is>
          <t>Cash, cash equivalents and restricted cash at end of the period</t>
        </is>
      </c>
      <c r="B51" s="5" t="n">
        <v>755981</v>
      </c>
      <c r="C51" s="5" t="n">
        <v>890190</v>
      </c>
      <c r="D51" s="5" t="n">
        <v>539987</v>
      </c>
    </row>
    <row r="52">
      <c r="A52" s="2" t="inlineStr">
        <is>
          <t>Cash paid for:</t>
        </is>
      </c>
    </row>
    <row r="53">
      <c r="A53" t="inlineStr">
        <is>
          <t>Interest</t>
        </is>
      </c>
      <c r="B53" s="4" t="n">
        <v>0</v>
      </c>
      <c r="C53" s="4" t="n">
        <v>0</v>
      </c>
      <c r="D53" s="4" t="n">
        <v>45799</v>
      </c>
    </row>
    <row r="54">
      <c r="A54" t="inlineStr">
        <is>
          <t>Taxes, net of refunds received</t>
        </is>
      </c>
      <c r="B54" s="4" t="n">
        <v>56748</v>
      </c>
      <c r="C54" s="4" t="n">
        <v>99134</v>
      </c>
      <c r="D54" s="4" t="n">
        <v>64231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2026-08-09T00:03:55Z</dcterms:created>
  <dcterms:modified xmlns:dcterms="http://purl.org/dc/terms/" xmlns:xsi="http://www.w3.org/2001/XMLSchema-instance" xsi:type="dcterms:W3CDTF">2026-08-09T00:03:55Z</dcterms:modified>
</cp:coreProperties>
</file>