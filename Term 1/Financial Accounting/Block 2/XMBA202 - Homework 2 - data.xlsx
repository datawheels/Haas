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AR" sheetId="4" state="visible" r:id="rId4"/>
    <sheet xmlns:r="http://schemas.openxmlformats.org/officeDocument/2006/relationships" name="Inventory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#,##0.000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1"/>
    </font>
    <font>
      <name val="Arial"/>
      <family val="2"/>
      <color theme="1"/>
      <sz val="11"/>
    </font>
    <font>
      <name val="Arial"/>
      <family val="2"/>
      <sz val="11"/>
    </font>
    <font>
      <name val="Arial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/>
    </xf>
    <xf numFmtId="3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0" fontId="3" fillId="0" borderId="0" applyAlignment="1" pivotButton="0" quotePrefix="0" xfId="1">
      <alignment horizontal="right"/>
    </xf>
    <xf numFmtId="164" fontId="3" fillId="0" borderId="0" applyAlignment="1" pivotButton="0" quotePrefix="0" xfId="0">
      <alignment horizontal="right"/>
    </xf>
    <xf numFmtId="3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166" fontId="2" fillId="0" borderId="0" applyAlignment="1" pivotButton="0" quotePrefix="0" xfId="0">
      <alignment horizontal="right" vertical="center"/>
    </xf>
  </cellXfs>
  <cellStyles count="2">
    <cellStyle name="Normal" xfId="0" builtinId="0"/>
    <cellStyle name="Per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7"/>
  <sheetViews>
    <sheetView tabSelected="1" workbookViewId="0">
      <selection activeCell="A1" sqref="A1"/>
    </sheetView>
  </sheetViews>
  <sheetFormatPr baseColWidth="8" defaultRowHeight="13.8"/>
  <cols>
    <col width="3.62890625" customWidth="1" style="1" min="1" max="1"/>
    <col width="56.7890625" customWidth="1" style="1" min="2" max="2"/>
    <col width="14.3125" customWidth="1" style="3" min="3" max="5"/>
    <col width="8.83984375" customWidth="1" style="1" min="6" max="16384"/>
  </cols>
  <sheetData>
    <row r="1"/>
    <row r="2" ht="14.1" customHeight="1">
      <c r="B2" s="7" t="inlineStr">
        <is>
          <t>Amazon - Income statement</t>
        </is>
      </c>
    </row>
    <row r="3"/>
    <row r="4" ht="14.1" customHeight="1">
      <c r="B4" s="8" t="inlineStr">
        <is>
          <t>Consolidated Income statements - USD ($) $ in Millions</t>
        </is>
      </c>
      <c r="C4" s="9" t="n">
        <v>2023</v>
      </c>
      <c r="D4" s="9" t="n">
        <v>2024</v>
      </c>
      <c r="E4" s="9" t="n">
        <v>2025</v>
      </c>
    </row>
    <row r="5">
      <c r="B5" s="2" t="inlineStr">
        <is>
          <t>Total net sales</t>
        </is>
      </c>
      <c r="C5" s="4" t="n">
        <v>574785</v>
      </c>
      <c r="D5" s="4" t="n">
        <v>637959</v>
      </c>
      <c r="E5" s="4" t="n">
        <v>716924</v>
      </c>
    </row>
    <row r="6">
      <c r="B6" s="2" t="inlineStr">
        <is>
          <t>Cost of sales</t>
        </is>
      </c>
      <c r="C6" s="4" t="n">
        <v>304739</v>
      </c>
      <c r="D6" s="4" t="n">
        <v>326288</v>
      </c>
      <c r="E6" s="4" t="n">
        <v>356414</v>
      </c>
    </row>
    <row r="7">
      <c r="B7" s="2" t="inlineStr">
        <is>
          <t>Fulfillment</t>
        </is>
      </c>
      <c r="C7" s="4" t="n">
        <v>90619</v>
      </c>
      <c r="D7" s="4" t="n">
        <v>98505</v>
      </c>
      <c r="E7" s="4" t="n">
        <v>109074</v>
      </c>
    </row>
    <row r="8">
      <c r="B8" s="2" t="inlineStr">
        <is>
          <t>Technology and infrastructure</t>
        </is>
      </c>
      <c r="C8" s="4" t="n">
        <v>85622</v>
      </c>
      <c r="D8" s="4" t="n">
        <v>88544</v>
      </c>
      <c r="E8" s="4" t="n">
        <v>108521</v>
      </c>
    </row>
    <row r="9">
      <c r="B9" s="2" t="inlineStr">
        <is>
          <t>Sales and marketing</t>
        </is>
      </c>
      <c r="C9" s="4" t="n">
        <v>44370</v>
      </c>
      <c r="D9" s="4" t="n">
        <v>43907</v>
      </c>
      <c r="E9" s="4" t="n">
        <v>47129</v>
      </c>
    </row>
    <row r="10">
      <c r="B10" s="2" t="inlineStr">
        <is>
          <t>General and administrative</t>
        </is>
      </c>
      <c r="C10" s="4" t="n">
        <v>11816</v>
      </c>
      <c r="D10" s="4" t="n">
        <v>11359</v>
      </c>
      <c r="E10" s="4" t="n">
        <v>11172</v>
      </c>
    </row>
    <row r="11">
      <c r="B11" s="2" t="inlineStr">
        <is>
          <t>Other operating expense (income), net</t>
        </is>
      </c>
      <c r="C11" s="4" t="n">
        <v>767</v>
      </c>
      <c r="D11" s="4" t="n">
        <v>763</v>
      </c>
      <c r="E11" s="4" t="n">
        <v>4639</v>
      </c>
    </row>
    <row r="12">
      <c r="B12" s="2" t="inlineStr">
        <is>
          <t>Total operating expenses</t>
        </is>
      </c>
      <c r="C12" s="4" t="n">
        <v>537933</v>
      </c>
      <c r="D12" s="4" t="n">
        <v>569366</v>
      </c>
      <c r="E12" s="4" t="n">
        <v>636949</v>
      </c>
    </row>
    <row r="13">
      <c r="B13" s="2" t="inlineStr">
        <is>
          <t>Operating income</t>
        </is>
      </c>
      <c r="C13" s="4" t="n">
        <v>36852</v>
      </c>
      <c r="D13" s="4" t="n">
        <v>68593</v>
      </c>
      <c r="E13" s="4" t="n">
        <v>79975</v>
      </c>
    </row>
    <row r="14">
      <c r="B14" s="2" t="inlineStr">
        <is>
          <t>Interest income</t>
        </is>
      </c>
      <c r="C14" s="4" t="n">
        <v>2949</v>
      </c>
      <c r="D14" s="4" t="n">
        <v>4677</v>
      </c>
      <c r="E14" s="4" t="n">
        <v>4381</v>
      </c>
    </row>
    <row r="15">
      <c r="B15" s="2" t="inlineStr">
        <is>
          <t>Interest expense</t>
        </is>
      </c>
      <c r="C15" s="4" t="n">
        <v>-3182</v>
      </c>
      <c r="D15" s="4" t="n">
        <v>-2406</v>
      </c>
      <c r="E15" s="4" t="n">
        <v>-2274</v>
      </c>
    </row>
    <row r="16">
      <c r="B16" s="2" t="inlineStr">
        <is>
          <t>Other income (expense), net</t>
        </is>
      </c>
      <c r="C16" s="4" t="n">
        <v>938</v>
      </c>
      <c r="D16" s="4" t="n">
        <v>-2250</v>
      </c>
      <c r="E16" s="4" t="n">
        <v>15229</v>
      </c>
    </row>
    <row r="17">
      <c r="B17" s="2" t="inlineStr">
        <is>
          <t>Total non-operating income (expense)</t>
        </is>
      </c>
      <c r="C17" s="4" t="n">
        <v>705</v>
      </c>
      <c r="D17" s="4" t="n">
        <v>21</v>
      </c>
      <c r="E17" s="4" t="n">
        <v>17336</v>
      </c>
    </row>
    <row r="18">
      <c r="B18" s="2" t="inlineStr">
        <is>
          <t>Income (loss) before income taxes</t>
        </is>
      </c>
      <c r="C18" s="4" t="n">
        <v>37557</v>
      </c>
      <c r="D18" s="4" t="n">
        <v>68614</v>
      </c>
      <c r="E18" s="4" t="n">
        <v>97311</v>
      </c>
    </row>
    <row r="19">
      <c r="B19" s="2" t="inlineStr">
        <is>
          <t>Benefit (provision) for income taxes</t>
        </is>
      </c>
      <c r="C19" s="4" t="n">
        <v>-7120</v>
      </c>
      <c r="D19" s="4" t="n">
        <v>-9265</v>
      </c>
      <c r="E19" s="4" t="n">
        <v>-19087</v>
      </c>
    </row>
    <row r="20">
      <c r="B20" s="2" t="inlineStr">
        <is>
          <t>Equity-method investment activity, net of tax</t>
        </is>
      </c>
      <c r="C20" s="4" t="n">
        <v>-12</v>
      </c>
      <c r="D20" s="4" t="n">
        <v>-101</v>
      </c>
      <c r="E20" s="4" t="n">
        <v>-554</v>
      </c>
    </row>
    <row r="21">
      <c r="B21" s="2" t="inlineStr">
        <is>
          <t>Net income (loss)</t>
        </is>
      </c>
      <c r="C21" s="4" t="n">
        <v>30425</v>
      </c>
      <c r="D21" s="4" t="n">
        <v>59248</v>
      </c>
      <c r="E21" s="4" t="n">
        <v>77670</v>
      </c>
    </row>
    <row r="22">
      <c r="B22" s="2" t="inlineStr">
        <is>
          <t>Basic earnings per share (in dollars per share)</t>
        </is>
      </c>
      <c r="C22" s="6" t="n">
        <v>2.95</v>
      </c>
      <c r="D22" s="6" t="n">
        <v>5.66</v>
      </c>
      <c r="E22" s="6" t="n">
        <v>7.29</v>
      </c>
    </row>
    <row r="23">
      <c r="B23" s="2" t="inlineStr">
        <is>
          <t>Diluted earnings per share (in dollars per share)</t>
        </is>
      </c>
      <c r="C23" s="6" t="n">
        <v>2.9</v>
      </c>
      <c r="D23" s="6" t="n">
        <v>5.53</v>
      </c>
      <c r="E23" s="6" t="n">
        <v>7.17</v>
      </c>
    </row>
    <row r="24">
      <c r="B24" s="2" t="inlineStr">
        <is>
          <t>Basic (in shares)</t>
        </is>
      </c>
      <c r="C24" s="4" t="n">
        <v>10304</v>
      </c>
      <c r="D24" s="4" t="n">
        <v>10473</v>
      </c>
      <c r="E24" s="4" t="n">
        <v>10656</v>
      </c>
    </row>
    <row r="25">
      <c r="B25" s="2" t="inlineStr">
        <is>
          <t>Diluted (in shares)</t>
        </is>
      </c>
      <c r="C25" s="4" t="n">
        <v>10492</v>
      </c>
      <c r="D25" s="4" t="n">
        <v>10721</v>
      </c>
      <c r="E25" s="4" t="n">
        <v>10827</v>
      </c>
    </row>
    <row r="26">
      <c r="B26" s="2" t="inlineStr">
        <is>
          <t>Net product sales</t>
        </is>
      </c>
      <c r="C26" s="4" t="n">
        <v>255887</v>
      </c>
      <c r="D26" s="4" t="n">
        <v>272311</v>
      </c>
      <c r="E26" s="4" t="n">
        <v>296266</v>
      </c>
    </row>
    <row r="27">
      <c r="B27" s="2" t="inlineStr">
        <is>
          <t>Net service sales</t>
        </is>
      </c>
      <c r="C27" s="4" t="n">
        <v>318898</v>
      </c>
      <c r="D27" s="4" t="n">
        <v>365648</v>
      </c>
      <c r="E27" s="4" t="n">
        <v>420658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31"/>
  <sheetViews>
    <sheetView workbookViewId="0">
      <selection activeCell="A1" sqref="A1"/>
    </sheetView>
  </sheetViews>
  <sheetFormatPr baseColWidth="8" defaultRowHeight="13.8"/>
  <cols>
    <col width="4.15625" customWidth="1" style="1" min="1" max="1"/>
    <col width="59.15625" customWidth="1" style="1" min="2" max="2"/>
    <col width="12.89453125" customWidth="1" style="3" min="3" max="4"/>
    <col width="8.83984375" customWidth="1" style="1" min="5" max="16384"/>
  </cols>
  <sheetData>
    <row r="1"/>
    <row r="2" ht="14.1" customHeight="1">
      <c r="B2" s="7" t="inlineStr">
        <is>
          <t xml:space="preserve">Amazon - Balance sheet </t>
        </is>
      </c>
    </row>
    <row r="3"/>
    <row r="4" ht="14.1" customHeight="1">
      <c r="B4" s="8" t="inlineStr">
        <is>
          <t>Consolidated Balance sheets - USD ($) $ in Millions</t>
        </is>
      </c>
      <c r="C4" s="9" t="n">
        <v>2024</v>
      </c>
      <c r="D4" s="9" t="n">
        <v>2025</v>
      </c>
    </row>
    <row r="5">
      <c r="B5" s="2" t="inlineStr">
        <is>
          <t>Cash and cash equivalents</t>
        </is>
      </c>
      <c r="C5" s="4" t="n">
        <v>78779</v>
      </c>
      <c r="D5" s="4" t="n">
        <v>86810</v>
      </c>
    </row>
    <row r="6">
      <c r="B6" s="2" t="inlineStr">
        <is>
          <t>Marketable securities</t>
        </is>
      </c>
      <c r="C6" s="4" t="n">
        <v>22423</v>
      </c>
      <c r="D6" s="4" t="n">
        <v>36219</v>
      </c>
    </row>
    <row r="7">
      <c r="B7" s="2" t="inlineStr">
        <is>
          <t>Inventories</t>
        </is>
      </c>
      <c r="C7" s="4" t="n">
        <v>34214</v>
      </c>
      <c r="D7" s="4" t="n">
        <v>38325</v>
      </c>
    </row>
    <row r="8">
      <c r="B8" s="2" t="inlineStr">
        <is>
          <t>Accounts receivable, net and other</t>
        </is>
      </c>
      <c r="C8" s="4" t="n">
        <v>55451</v>
      </c>
      <c r="D8" s="4" t="n">
        <v>67729</v>
      </c>
    </row>
    <row r="9">
      <c r="B9" s="2" t="inlineStr">
        <is>
          <t>Total current assets</t>
        </is>
      </c>
      <c r="C9" s="4" t="n">
        <v>190867</v>
      </c>
      <c r="D9" s="4" t="n">
        <v>229083</v>
      </c>
    </row>
    <row r="10">
      <c r="B10" s="2" t="inlineStr">
        <is>
          <t>Property and equipment, net</t>
        </is>
      </c>
      <c r="C10" s="4" t="n">
        <v>252665</v>
      </c>
      <c r="D10" s="4" t="n">
        <v>357025</v>
      </c>
    </row>
    <row r="11">
      <c r="B11" s="2" t="inlineStr">
        <is>
          <t>Operating leases</t>
        </is>
      </c>
      <c r="C11" s="4" t="n">
        <v>76141</v>
      </c>
      <c r="D11" s="4" t="n">
        <v>86054</v>
      </c>
    </row>
    <row r="12">
      <c r="B12" s="2" t="inlineStr">
        <is>
          <t>Goodwill</t>
        </is>
      </c>
      <c r="C12" s="4" t="n">
        <v>23074</v>
      </c>
      <c r="D12" s="4" t="n">
        <v>23273</v>
      </c>
    </row>
    <row r="13">
      <c r="B13" s="2" t="inlineStr">
        <is>
          <t>Other assets</t>
        </is>
      </c>
      <c r="C13" s="4" t="n">
        <v>82147</v>
      </c>
      <c r="D13" s="4" t="n">
        <v>122607</v>
      </c>
    </row>
    <row r="14" ht="14.1" customHeight="1">
      <c r="B14" s="10" t="inlineStr">
        <is>
          <t>Total assets</t>
        </is>
      </c>
      <c r="C14" s="11" t="n">
        <v>624894</v>
      </c>
      <c r="D14" s="11" t="n">
        <v>818042</v>
      </c>
    </row>
    <row r="15">
      <c r="B15" s="2" t="n"/>
      <c r="C15" s="4" t="n"/>
      <c r="D15" s="4" t="n"/>
    </row>
    <row r="16">
      <c r="B16" s="2" t="inlineStr">
        <is>
          <t>Accounts payable</t>
        </is>
      </c>
      <c r="C16" s="4" t="n">
        <v>94363</v>
      </c>
      <c r="D16" s="4" t="n">
        <v>121909</v>
      </c>
    </row>
    <row r="17">
      <c r="B17" s="2" t="inlineStr">
        <is>
          <t>Accrued expenses and other</t>
        </is>
      </c>
      <c r="C17" s="4" t="n">
        <v>66965</v>
      </c>
      <c r="D17" s="4" t="n">
        <v>75520</v>
      </c>
    </row>
    <row r="18">
      <c r="B18" s="2" t="inlineStr">
        <is>
          <t>Unearned revenue</t>
        </is>
      </c>
      <c r="C18" s="4" t="n">
        <v>18103</v>
      </c>
      <c r="D18" s="4" t="n">
        <v>20576</v>
      </c>
    </row>
    <row r="19">
      <c r="B19" s="2" t="inlineStr">
        <is>
          <t>Total current liabilities</t>
        </is>
      </c>
      <c r="C19" s="4" t="n">
        <v>179431</v>
      </c>
      <c r="D19" s="4" t="n">
        <v>218005</v>
      </c>
    </row>
    <row r="20">
      <c r="B20" s="2" t="inlineStr">
        <is>
          <t>Long-term lease liabilities</t>
        </is>
      </c>
      <c r="C20" s="4" t="n">
        <v>78277</v>
      </c>
      <c r="D20" s="4" t="n">
        <v>87339</v>
      </c>
    </row>
    <row r="21">
      <c r="B21" s="2" t="inlineStr">
        <is>
          <t>Long-term debt</t>
        </is>
      </c>
      <c r="C21" s="4" t="n">
        <v>52623</v>
      </c>
      <c r="D21" s="4" t="n">
        <v>65648</v>
      </c>
    </row>
    <row r="22">
      <c r="B22" s="2" t="inlineStr">
        <is>
          <t>Other long-term liabilities</t>
        </is>
      </c>
      <c r="C22" s="4" t="n">
        <v>28593</v>
      </c>
      <c r="D22" s="4" t="n">
        <v>35985</v>
      </c>
    </row>
    <row r="23">
      <c r="B23" s="2" t="n"/>
      <c r="C23" s="4" t="n"/>
      <c r="D23" s="4" t="n"/>
    </row>
    <row r="24">
      <c r="B24" s="2" t="inlineStr">
        <is>
          <t>Preferred stock</t>
        </is>
      </c>
      <c r="C24" s="4" t="n">
        <v>0</v>
      </c>
      <c r="D24" s="4" t="n">
        <v>0</v>
      </c>
    </row>
    <row r="25">
      <c r="B25" s="2" t="inlineStr">
        <is>
          <t>Common stock</t>
        </is>
      </c>
      <c r="C25" s="4" t="n">
        <v>111</v>
      </c>
      <c r="D25" s="4" t="n">
        <v>112</v>
      </c>
    </row>
    <row r="26">
      <c r="B26" s="2" t="inlineStr">
        <is>
          <t>Treasury stock, at cost</t>
        </is>
      </c>
      <c r="C26" s="4" t="n">
        <v>-7837</v>
      </c>
      <c r="D26" s="4" t="n">
        <v>-7837</v>
      </c>
    </row>
    <row r="27">
      <c r="B27" s="2" t="inlineStr">
        <is>
          <t>Additional paid-in capital</t>
        </is>
      </c>
      <c r="C27" s="4" t="n">
        <v>120864</v>
      </c>
      <c r="D27" s="4" t="n">
        <v>140024</v>
      </c>
    </row>
    <row r="28">
      <c r="B28" s="2" t="inlineStr">
        <is>
          <t>Accumulated other comprehensive income (loss)</t>
        </is>
      </c>
      <c r="C28" s="4" t="n">
        <v>-34</v>
      </c>
      <c r="D28" s="4" t="n">
        <v>28230</v>
      </c>
    </row>
    <row r="29">
      <c r="B29" s="2" t="inlineStr">
        <is>
          <t>Retained earnings</t>
        </is>
      </c>
      <c r="C29" s="4" t="n">
        <v>172866</v>
      </c>
      <c r="D29" s="4" t="n">
        <v>250536</v>
      </c>
    </row>
    <row r="30">
      <c r="B30" s="2" t="inlineStr">
        <is>
          <t>Total stockholders’ equity</t>
        </is>
      </c>
      <c r="C30" s="4" t="n">
        <v>285970</v>
      </c>
      <c r="D30" s="4" t="n">
        <v>411065</v>
      </c>
    </row>
    <row r="31" ht="14.1" customHeight="1">
      <c r="B31" s="10" t="inlineStr">
        <is>
          <t>Total liabilities and stockholders’ equity</t>
        </is>
      </c>
      <c r="C31" s="11" t="n">
        <v>624894</v>
      </c>
      <c r="D31" s="11" t="n">
        <v>818042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3.8"/>
  <cols>
    <col width="4.26171875" customWidth="1" style="1" min="1" max="1"/>
    <col width="76.20703125" customWidth="1" style="1" min="2" max="2"/>
    <col width="12.15625" customWidth="1" style="3" min="3" max="5"/>
    <col width="8.83984375" customWidth="1" style="1" min="6" max="16384"/>
  </cols>
  <sheetData>
    <row r="1"/>
    <row r="2" ht="14.1" customHeight="1">
      <c r="B2" s="7" t="inlineStr">
        <is>
          <t>Amazon - Cash flow statement</t>
        </is>
      </c>
    </row>
    <row r="3"/>
    <row r="4" ht="14.1" customHeight="1">
      <c r="B4" s="12" t="n"/>
      <c r="C4" s="9" t="n">
        <v>2023</v>
      </c>
      <c r="D4" s="9" t="n">
        <v>2024</v>
      </c>
      <c r="E4" s="9" t="n">
        <v>2025</v>
      </c>
    </row>
    <row r="5">
      <c r="B5" s="2" t="inlineStr">
        <is>
          <t>CASH, CASH EQUIVALENTS, AND RESTRICTED CASH, BEGINNING OF PERIOD</t>
        </is>
      </c>
      <c r="C5" s="4" t="n">
        <v>54253</v>
      </c>
      <c r="D5" s="4" t="n">
        <v>73890</v>
      </c>
      <c r="E5" s="4" t="n">
        <v>82312</v>
      </c>
    </row>
    <row r="6">
      <c r="B6" s="2" t="inlineStr">
        <is>
          <t>Net income (loss)</t>
        </is>
      </c>
      <c r="C6" s="4" t="n">
        <v>30425</v>
      </c>
      <c r="D6" s="4" t="n">
        <v>59248</v>
      </c>
      <c r="E6" s="4" t="n">
        <v>77670</v>
      </c>
    </row>
    <row r="7">
      <c r="B7" s="2" t="inlineStr">
        <is>
          <t>Depreciation and amortization</t>
        </is>
      </c>
      <c r="C7" s="4" t="n">
        <v>48663</v>
      </c>
      <c r="D7" s="4" t="n">
        <v>52795</v>
      </c>
      <c r="E7" s="4" t="n">
        <v>65756</v>
      </c>
    </row>
    <row r="8">
      <c r="B8" s="2" t="inlineStr">
        <is>
          <t>Stock-based compensation</t>
        </is>
      </c>
      <c r="C8" s="4" t="n">
        <v>24023</v>
      </c>
      <c r="D8" s="4" t="n">
        <v>22011</v>
      </c>
      <c r="E8" s="4" t="n">
        <v>19467</v>
      </c>
    </row>
    <row r="9">
      <c r="B9" s="2" t="inlineStr">
        <is>
          <t>Non-operating expense (income), net</t>
        </is>
      </c>
      <c r="C9" s="4" t="n">
        <v>-748</v>
      </c>
      <c r="D9" s="4" t="n">
        <v>2012</v>
      </c>
      <c r="E9" s="4" t="n">
        <v>-14880</v>
      </c>
    </row>
    <row r="10">
      <c r="B10" s="2" t="inlineStr">
        <is>
          <t>Deferred income taxes</t>
        </is>
      </c>
      <c r="C10" s="4" t="n">
        <v>-5876</v>
      </c>
      <c r="D10" s="4" t="n">
        <v>-4648</v>
      </c>
      <c r="E10" s="4" t="n">
        <v>11470</v>
      </c>
    </row>
    <row r="11">
      <c r="B11" s="2" t="inlineStr">
        <is>
          <t>Inventories</t>
        </is>
      </c>
      <c r="C11" s="4" t="n">
        <v>1449</v>
      </c>
      <c r="D11" s="4" t="n">
        <v>-1884</v>
      </c>
      <c r="E11" s="4" t="n">
        <v>-3002</v>
      </c>
    </row>
    <row r="12">
      <c r="B12" s="2" t="inlineStr">
        <is>
          <t>Accounts receivable, net and other</t>
        </is>
      </c>
      <c r="C12" s="4" t="n">
        <v>-8348</v>
      </c>
      <c r="D12" s="4" t="n">
        <v>-3249</v>
      </c>
      <c r="E12" s="4" t="n">
        <v>-7333</v>
      </c>
    </row>
    <row r="13">
      <c r="B13" s="2" t="inlineStr">
        <is>
          <t>Other assets</t>
        </is>
      </c>
      <c r="C13" s="4" t="n">
        <v>-12265</v>
      </c>
      <c r="D13" s="4" t="n">
        <v>-14483</v>
      </c>
      <c r="E13" s="4" t="n">
        <v>-15632</v>
      </c>
    </row>
    <row r="14">
      <c r="B14" s="2" t="inlineStr">
        <is>
          <t>Accounts payable</t>
        </is>
      </c>
      <c r="C14" s="4" t="n">
        <v>5473</v>
      </c>
      <c r="D14" s="4" t="n">
        <v>2972</v>
      </c>
      <c r="E14" s="4" t="n">
        <v>11231</v>
      </c>
    </row>
    <row r="15">
      <c r="B15" s="2" t="inlineStr">
        <is>
          <t>Accrued expenses and other</t>
        </is>
      </c>
      <c r="C15" s="4" t="n">
        <v>-2428</v>
      </c>
      <c r="D15" s="4" t="n">
        <v>-2904</v>
      </c>
      <c r="E15" s="4" t="n">
        <v>-5019</v>
      </c>
    </row>
    <row r="16">
      <c r="B16" s="2" t="inlineStr">
        <is>
          <t>Unearned revenue</t>
        </is>
      </c>
      <c r="C16" s="4" t="n">
        <v>4578</v>
      </c>
      <c r="D16" s="4" t="n">
        <v>4007</v>
      </c>
      <c r="E16" s="4" t="n">
        <v>-214</v>
      </c>
    </row>
    <row r="17" ht="14.1" customHeight="1">
      <c r="B17" s="10" t="inlineStr">
        <is>
          <t>Net cash provided by (used in) operating activities</t>
        </is>
      </c>
      <c r="C17" s="11" t="n">
        <v>84946</v>
      </c>
      <c r="D17" s="11" t="n">
        <v>115877</v>
      </c>
      <c r="E17" s="11" t="n">
        <v>139514</v>
      </c>
    </row>
    <row r="18" ht="14.1" customHeight="1">
      <c r="B18" s="10" t="n"/>
      <c r="C18" s="11" t="n"/>
      <c r="D18" s="11" t="n"/>
      <c r="E18" s="11" t="n"/>
    </row>
    <row r="19">
      <c r="B19" s="2" t="inlineStr">
        <is>
          <t>Purchases of property and equipment</t>
        </is>
      </c>
      <c r="C19" s="4" t="n">
        <v>-52729</v>
      </c>
      <c r="D19" s="4" t="n">
        <v>-82999</v>
      </c>
      <c r="E19" s="4" t="n">
        <v>-131819</v>
      </c>
    </row>
    <row r="20">
      <c r="B20" s="2" t="inlineStr">
        <is>
          <t>Proceeds from property and equipment sales and incentives</t>
        </is>
      </c>
      <c r="C20" s="4" t="n">
        <v>4596</v>
      </c>
      <c r="D20" s="4" t="n">
        <v>5341</v>
      </c>
      <c r="E20" s="4" t="n">
        <v>3499</v>
      </c>
    </row>
    <row r="21">
      <c r="B21" s="2" t="inlineStr">
        <is>
          <t>Acquisitions and other</t>
        </is>
      </c>
      <c r="C21" s="4" t="n">
        <v>-5839</v>
      </c>
      <c r="D21" s="4" t="n">
        <v>-7082</v>
      </c>
      <c r="E21" s="4" t="n">
        <v>-3841</v>
      </c>
    </row>
    <row r="22">
      <c r="B22" s="2" t="inlineStr">
        <is>
          <t>Sales and maturities of marketable securities</t>
        </is>
      </c>
      <c r="C22" s="4" t="n">
        <v>5627</v>
      </c>
      <c r="D22" s="4" t="n">
        <v>16403</v>
      </c>
      <c r="E22" s="4" t="n">
        <v>44386</v>
      </c>
    </row>
    <row r="23">
      <c r="B23" s="2" t="inlineStr">
        <is>
          <t>Purchases of marketable securities</t>
        </is>
      </c>
      <c r="C23" s="4" t="n">
        <v>-1488</v>
      </c>
      <c r="D23" s="4" t="n">
        <v>-26005</v>
      </c>
      <c r="E23" s="4" t="n">
        <v>-54770</v>
      </c>
    </row>
    <row r="24" ht="14.1" customHeight="1">
      <c r="B24" s="10" t="inlineStr">
        <is>
          <t>Net cash provided by (used in) investing activities</t>
        </is>
      </c>
      <c r="C24" s="11" t="n">
        <v>-49833</v>
      </c>
      <c r="D24" s="11" t="n">
        <v>-94342</v>
      </c>
      <c r="E24" s="11" t="n">
        <v>-142545</v>
      </c>
    </row>
    <row r="25" ht="14.1" customHeight="1">
      <c r="B25" s="10" t="n"/>
      <c r="C25" s="11" t="n"/>
      <c r="D25" s="11" t="n"/>
      <c r="E25" s="17" t="n"/>
    </row>
    <row r="26">
      <c r="B26" s="2" t="inlineStr">
        <is>
          <t>Proceeds from short-term debt and other</t>
        </is>
      </c>
      <c r="C26" s="4" t="n">
        <v>18129</v>
      </c>
      <c r="D26" s="4" t="n">
        <v>5142</v>
      </c>
      <c r="E26" s="4" t="n">
        <v>9320</v>
      </c>
    </row>
    <row r="27">
      <c r="B27" s="2" t="inlineStr">
        <is>
          <t>Repayments of short-term debt and other</t>
        </is>
      </c>
      <c r="C27" s="4" t="n">
        <v>-25677</v>
      </c>
      <c r="D27" s="4" t="n">
        <v>-5060</v>
      </c>
      <c r="E27" s="4" t="n">
        <v>-8426</v>
      </c>
    </row>
    <row r="28">
      <c r="B28" s="2" t="inlineStr">
        <is>
          <t>Proceeds from long-term debt</t>
        </is>
      </c>
      <c r="C28" s="4" t="n">
        <v>0</v>
      </c>
      <c r="D28" s="4" t="n">
        <v>0</v>
      </c>
      <c r="E28" s="4" t="n">
        <v>15673</v>
      </c>
    </row>
    <row r="29">
      <c r="B29" s="2" t="inlineStr">
        <is>
          <t>Repayments of long-term debt</t>
        </is>
      </c>
      <c r="C29" s="4" t="n">
        <v>-3676</v>
      </c>
      <c r="D29" s="4" t="n">
        <v>-9182</v>
      </c>
      <c r="E29" s="4" t="n">
        <v>-5021</v>
      </c>
    </row>
    <row r="30">
      <c r="B30" s="2" t="inlineStr">
        <is>
          <t>Principal repayments of finance leases</t>
        </is>
      </c>
      <c r="C30" s="4" t="n">
        <v>-4384</v>
      </c>
      <c r="D30" s="4" t="n">
        <v>-2043</v>
      </c>
      <c r="E30" s="4" t="n">
        <v>-1557</v>
      </c>
    </row>
    <row r="31">
      <c r="B31" s="2" t="inlineStr">
        <is>
          <t>Principal repayments of financing obligations</t>
        </is>
      </c>
      <c r="C31" s="4" t="n">
        <v>-271</v>
      </c>
      <c r="D31" s="4" t="n">
        <v>-669</v>
      </c>
      <c r="E31" s="4" t="n">
        <v>-328</v>
      </c>
    </row>
    <row r="32">
      <c r="B32" s="10" t="inlineStr">
        <is>
          <t>Net cash provided by (used in) financing activities</t>
        </is>
      </c>
      <c r="C32" s="11" t="n">
        <v>-15879</v>
      </c>
      <c r="D32" s="11" t="n">
        <v>-11812</v>
      </c>
      <c r="E32" s="11" t="n">
        <v>9661</v>
      </c>
    </row>
    <row r="33" ht="14.1" customHeight="1">
      <c r="B33" s="10" t="n"/>
      <c r="C33" s="11" t="n"/>
      <c r="D33" s="11" t="n"/>
      <c r="E33" s="11" t="n"/>
    </row>
    <row r="34" ht="14.1" customHeight="1">
      <c r="B34" s="2" t="inlineStr">
        <is>
          <t>Foreign currency effect</t>
        </is>
      </c>
      <c r="C34" s="4" t="n">
        <v>403</v>
      </c>
      <c r="D34" s="4" t="n">
        <v>-1301</v>
      </c>
      <c r="E34" s="4" t="n">
        <v>1164</v>
      </c>
    </row>
    <row r="35">
      <c r="B35" s="2" t="inlineStr">
        <is>
          <t>Net increase (decrease) in cash</t>
        </is>
      </c>
      <c r="C35" s="4" t="n">
        <v>19637</v>
      </c>
      <c r="D35" s="4" t="n">
        <v>8422</v>
      </c>
      <c r="E35" s="4" t="n">
        <v>7794</v>
      </c>
    </row>
    <row r="36">
      <c r="B36" s="2" t="inlineStr">
        <is>
          <t>CASH, CASH EQUIVALENTS, AND RESTRICTED CASH, END OF PERIOD</t>
        </is>
      </c>
      <c r="C36" s="4" t="n">
        <v>73890</v>
      </c>
      <c r="D36" s="4" t="n">
        <v>82312</v>
      </c>
      <c r="E36" s="4" t="n">
        <v>90106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3.8"/>
  <cols>
    <col width="4.15625" customWidth="1" style="1" min="1" max="1"/>
    <col width="59.15625" customWidth="1" style="1" min="2" max="2"/>
    <col width="12.578125" customWidth="1" style="1" min="3" max="3"/>
    <col width="12.578125" customWidth="1" style="3" min="4" max="5"/>
    <col width="8.83984375" customWidth="1" style="1" min="6" max="16384"/>
  </cols>
  <sheetData>
    <row r="1"/>
    <row r="2" ht="14.1" customHeight="1">
      <c r="B2" s="7" t="inlineStr">
        <is>
          <t>Amazon - Balance sheet - selected items</t>
        </is>
      </c>
      <c r="C2" s="7" t="n"/>
    </row>
    <row r="3"/>
    <row r="4" ht="14.1" customHeight="1">
      <c r="B4" s="8" t="n"/>
      <c r="C4" s="9" t="n">
        <v>2023</v>
      </c>
      <c r="D4" s="9" t="n">
        <v>2024</v>
      </c>
      <c r="E4" s="9" t="n">
        <v>2025</v>
      </c>
    </row>
    <row r="5">
      <c r="B5" s="2" t="inlineStr">
        <is>
          <t>Accounts receivable, net - customer</t>
        </is>
      </c>
      <c r="C5" s="2" t="n"/>
      <c r="D5" s="5" t="n">
        <v>34.3</v>
      </c>
      <c r="E5" s="5" t="n">
        <v>40.4</v>
      </c>
    </row>
    <row r="6">
      <c r="B6" s="1" t="inlineStr">
        <is>
          <t>Allowance, year end</t>
        </is>
      </c>
      <c r="C6" s="5" t="n">
        <v>1.7</v>
      </c>
      <c r="D6" s="14" t="n">
        <v>2</v>
      </c>
      <c r="E6" s="14" t="n">
        <v>2.4</v>
      </c>
    </row>
    <row r="7">
      <c r="B7" s="1" t="inlineStr">
        <is>
          <t>Bad debt expense for the year</t>
        </is>
      </c>
      <c r="C7" s="14" t="n">
        <v>1.9</v>
      </c>
      <c r="D7" s="14" t="n">
        <v>1.9</v>
      </c>
      <c r="E7" s="14" t="n">
        <v>1.6</v>
      </c>
    </row>
    <row r="8"/>
    <row r="9" ht="14.1" customHeight="1">
      <c r="A9" s="7" t="inlineStr">
        <is>
          <t>Q2</t>
        </is>
      </c>
      <c r="B9" s="1" t="inlineStr">
        <is>
          <t xml:space="preserve">Allowance as % of AR net </t>
        </is>
      </c>
      <c r="D9" s="13" t="n"/>
      <c r="E9" s="13" t="n"/>
    </row>
    <row r="10" ht="14.1" customHeight="1">
      <c r="A10" s="7" t="inlineStr">
        <is>
          <t>Q1</t>
        </is>
      </c>
      <c r="B10" s="1" t="inlineStr">
        <is>
          <t>Writeoffs</t>
        </is>
      </c>
      <c r="D10" s="5" t="n"/>
      <c r="E10" s="5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3.8"/>
  <cols>
    <col width="4.15625" customWidth="1" style="1" min="1" max="1"/>
    <col width="59.15625" customWidth="1" style="1" min="2" max="2"/>
    <col width="12.89453125" customWidth="1" style="3" min="3" max="4"/>
    <col width="8.83984375" customWidth="1" style="1" min="5" max="16384"/>
  </cols>
  <sheetData>
    <row r="1"/>
    <row r="2" ht="14.1" customHeight="1">
      <c r="B2" s="7" t="inlineStr">
        <is>
          <t>Amazon - Balance sheet and Income statement - selected items</t>
        </is>
      </c>
    </row>
    <row r="3"/>
    <row r="4" ht="14.1" customHeight="1">
      <c r="B4" s="8" t="n"/>
      <c r="C4" s="9" t="n">
        <v>2024</v>
      </c>
      <c r="D4" s="9" t="n">
        <v>2025</v>
      </c>
    </row>
    <row r="5">
      <c r="B5" s="2" t="inlineStr">
        <is>
          <t>Inventories</t>
        </is>
      </c>
      <c r="C5" s="4" t="n">
        <v>34214</v>
      </c>
      <c r="D5" s="4" t="n">
        <v>38325</v>
      </c>
    </row>
    <row r="6">
      <c r="B6" s="1" t="inlineStr">
        <is>
          <t>COGS</t>
        </is>
      </c>
      <c r="C6" s="15">
        <f>'Income statement'!D6</f>
        <v/>
      </c>
      <c r="D6" s="15">
        <f>'Income statement'!E6</f>
        <v/>
      </c>
    </row>
    <row r="7"/>
    <row r="8" ht="14.1" customHeight="1">
      <c r="A8" s="7" t="inlineStr">
        <is>
          <t>Q1</t>
        </is>
      </c>
      <c r="B8" s="1" t="inlineStr">
        <is>
          <t xml:space="preserve">Days Inventory </t>
        </is>
      </c>
      <c r="C8" s="16" t="n"/>
      <c r="D8" s="1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Veselina Dinova</dc:creator>
  <dcterms:created xmlns:dcterms="http://purl.org/dc/terms/" xmlns:xsi="http://www.w3.org/2001/XMLSchema-instance" xsi:type="dcterms:W3CDTF">2025-07-18T18:35:51Z</dcterms:created>
  <dcterms:modified xmlns:dcterms="http://purl.org/dc/terms/" xmlns:xsi="http://www.w3.org/2001/XMLSchema-instance" xsi:type="dcterms:W3CDTF">2026-08-07T00:30:51Z</dcterms:modified>
  <cp:lastModifiedBy>Veselina Dinova</cp:lastModifiedBy>
</cp:coreProperties>
</file>