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filterPrivacy="1" defaultThemeVersion="124226"/>
  <xr:revisionPtr revIDLastSave="9" documentId="11_8A83C090160ADB780F988D3EAB37D05B923C910F" xr6:coauthVersionLast="47" xr6:coauthVersionMax="47" xr10:uidLastSave="{9259FA20-76CD-4C2A-B410-E990D5EE5807}"/>
  <bookViews>
    <workbookView xWindow="-96" yWindow="-96" windowWidth="23232" windowHeight="13872" activeTab="2" xr2:uid="{00000000-000D-0000-FFFF-FFFF00000000}"/>
  </bookViews>
  <sheets>
    <sheet name="AR simple example" sheetId="5" r:id="rId1"/>
    <sheet name="Template" sheetId="4" r:id="rId2"/>
    <sheet name="With answer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H4" i="5"/>
  <c r="D6" i="5"/>
  <c r="D8" i="5"/>
  <c r="F5" i="5" s="1"/>
  <c r="H5" i="5" l="1"/>
  <c r="H6" i="5" s="1"/>
  <c r="F6" i="5"/>
  <c r="D9" i="5"/>
  <c r="D10" i="5" s="1"/>
  <c r="C5" i="4" l="1"/>
  <c r="C46" i="4" l="1"/>
  <c r="C48" i="4" s="1"/>
  <c r="C27" i="1"/>
  <c r="C13" i="1"/>
  <c r="C21" i="1" s="1"/>
  <c r="C5" i="1"/>
  <c r="C12" i="1" s="1"/>
  <c r="C20" i="1" s="1"/>
  <c r="F5" i="1" l="1"/>
  <c r="C14" i="1"/>
  <c r="C22" i="1"/>
  <c r="C37" i="1" l="1"/>
  <c r="E31" i="1"/>
  <c r="E32" i="1"/>
  <c r="E33" i="1"/>
  <c r="E30" i="1"/>
  <c r="E34" i="1" l="1"/>
  <c r="C36" i="1" s="1"/>
  <c r="C38" i="1" l="1"/>
  <c r="C39" i="1" s="1"/>
  <c r="F6" i="1"/>
  <c r="C45" i="1" l="1"/>
  <c r="C46" i="1" s="1"/>
  <c r="C48" i="1" s="1"/>
  <c r="F7" i="1"/>
</calcChain>
</file>

<file path=xl/sharedStrings.xml><?xml version="1.0" encoding="utf-8"?>
<sst xmlns="http://schemas.openxmlformats.org/spreadsheetml/2006/main" count="94" uniqueCount="45">
  <si>
    <t xml:space="preserve">Gross AR </t>
  </si>
  <si>
    <t xml:space="preserve">Allowance </t>
  </si>
  <si>
    <t>Net AR</t>
  </si>
  <si>
    <t>Credit sales small vendors</t>
  </si>
  <si>
    <t xml:space="preserve">% uncollectable </t>
  </si>
  <si>
    <t>Required allowance</t>
  </si>
  <si>
    <t>Current AR</t>
  </si>
  <si>
    <t>Late AR 30 days</t>
  </si>
  <si>
    <t>Late AR 60 days</t>
  </si>
  <si>
    <t xml:space="preserve">Late AR more than 60 days late </t>
  </si>
  <si>
    <t xml:space="preserve">Balance </t>
  </si>
  <si>
    <t xml:space="preserve">Required allowance </t>
  </si>
  <si>
    <t xml:space="preserve">Total </t>
  </si>
  <si>
    <t>Write-off - actual for the year 2019</t>
  </si>
  <si>
    <t>Beginning balance 2019/Ending balance 2018</t>
  </si>
  <si>
    <t xml:space="preserve">New sales in credit </t>
  </si>
  <si>
    <t xml:space="preserve">Collections for the year </t>
  </si>
  <si>
    <t xml:space="preserve">Bad debt expense for the year </t>
  </si>
  <si>
    <t>Existing allowance</t>
  </si>
  <si>
    <t xml:space="preserve">Balance after the new sales on credit and collections </t>
  </si>
  <si>
    <t>Aging schedule large vendors</t>
  </si>
  <si>
    <t>Coffee Life AR schedule</t>
  </si>
  <si>
    <t>Required allowance calculations</t>
  </si>
  <si>
    <t xml:space="preserve">Gross profit margin </t>
  </si>
  <si>
    <t xml:space="preserve">Sales </t>
  </si>
  <si>
    <t xml:space="preserve">Cost of sales excluding bad debt expense </t>
  </si>
  <si>
    <t xml:space="preserve">Bad debt expense </t>
  </si>
  <si>
    <t xml:space="preserve">Gross profit </t>
  </si>
  <si>
    <t>Required allowance small vendors</t>
  </si>
  <si>
    <t>Total required allowance large vendors</t>
  </si>
  <si>
    <t xml:space="preserve">Balance after the write-off is accounted for </t>
  </si>
  <si>
    <t>Difference from existing allowance</t>
  </si>
  <si>
    <t>Fast forward:</t>
  </si>
  <si>
    <t>If Erica recorded TOO much additional reserve in 2019, the profit in 2019 would have been lower and the profit in 2020 higher because the need for reserve in 2020 would have been lower</t>
  </si>
  <si>
    <t>If Erica did not record a reserve in 2019, the profit in 2019 would have been higher, but likely lower in 2020 when a portion of the AR becomes uncollectable in 2020</t>
  </si>
  <si>
    <t xml:space="preserve">If Erica recorded additional reserve in anticipation for the pandemic, the profit in 2019 would have been lower; the profit in 2020 depends on the precision of her estimate </t>
  </si>
  <si>
    <t>`</t>
  </si>
  <si>
    <t xml:space="preserve">Write off </t>
  </si>
  <si>
    <t xml:space="preserve">Increase in the reserve </t>
  </si>
  <si>
    <t xml:space="preserve">Reserve needed </t>
  </si>
  <si>
    <t xml:space="preserve">Net AR </t>
  </si>
  <si>
    <t xml:space="preserve">Reserve </t>
  </si>
  <si>
    <t>After write-off</t>
  </si>
  <si>
    <t xml:space="preserve">After bad debt expense </t>
  </si>
  <si>
    <t xml:space="preserve">Beginning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</si>
</sst>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1"/>
      <color rgb="FFFFC00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0" borderId="0" xfId="0" applyFont="1"/>
    <xf numFmtId="0" fontId="3" fillId="0" borderId="1" xfId="0" applyFont="1" applyBorder="1"/>
    <xf numFmtId="3" fontId="2" fillId="0" borderId="0" xfId="0" applyNumberFormat="1" applyFont="1"/>
    <xf numFmtId="0" fontId="2" fillId="0" borderId="1" xfId="0" applyFont="1" applyBorder="1"/>
    <xf numFmtId="164" fontId="2" fillId="0" borderId="0" xfId="0" applyNumberFormat="1" applyFont="1"/>
    <xf numFmtId="0" fontId="2" fillId="0" borderId="1" xfId="0" applyFont="1" applyBorder="1" applyAlignment="1">
      <alignment wrapText="1"/>
    </xf>
    <xf numFmtId="0" fontId="2" fillId="0" borderId="1" xfId="0" applyFont="1" applyBorder="1" applyAlignment="1">
      <alignment horizontal="right" wrapText="1"/>
    </xf>
    <xf numFmtId="0" fontId="2" fillId="0" borderId="0" xfId="0" applyFont="1" applyAlignment="1">
      <alignment wrapText="1"/>
    </xf>
    <xf numFmtId="9" fontId="2" fillId="0" borderId="0" xfId="0" applyNumberFormat="1" applyFont="1"/>
    <xf numFmtId="3" fontId="2" fillId="0" borderId="1" xfId="0" applyNumberFormat="1" applyFont="1" applyBorder="1"/>
    <xf numFmtId="9" fontId="2" fillId="0" borderId="1" xfId="0" applyNumberFormat="1" applyFont="1" applyBorder="1"/>
    <xf numFmtId="0" fontId="3" fillId="0" borderId="0" xfId="0" applyFont="1"/>
    <xf numFmtId="3" fontId="3" fillId="0" borderId="0" xfId="0" applyNumberFormat="1" applyFont="1"/>
    <xf numFmtId="10" fontId="2" fillId="0" borderId="0" xfId="1" applyNumberFormat="1" applyFont="1"/>
    <xf numFmtId="0" fontId="4" fillId="0" borderId="0" xfId="0" applyFont="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J13"/>
  <sheetViews>
    <sheetView workbookViewId="0"/>
  </sheetViews>
  <sheetFormatPr defaultRowHeight="13.8" x14ac:dyDescent="0.45"/>
  <cols>
    <col min="1" max="1" width="3.578125" style="1" customWidth="1"/>
    <col min="2" max="2" width="4.15625" style="1" customWidth="1"/>
    <col min="3" max="3" width="22" style="1" bestFit="1" customWidth="1"/>
    <col min="4" max="4" width="22.68359375" style="1" customWidth="1"/>
    <col min="5" max="5" width="8.83984375" style="1"/>
    <col min="6" max="6" width="22.68359375" style="1" customWidth="1"/>
    <col min="7" max="7" width="8.83984375" style="1"/>
    <col min="8" max="8" width="22.68359375" style="1" customWidth="1"/>
    <col min="9" max="16384" width="8.83984375" style="1"/>
  </cols>
  <sheetData>
    <row r="3" spans="3:10" ht="14.1" x14ac:dyDescent="0.5">
      <c r="C3" s="2"/>
      <c r="D3" s="2" t="s">
        <v>44</v>
      </c>
      <c r="E3" s="2"/>
      <c r="F3" s="2" t="s">
        <v>43</v>
      </c>
      <c r="G3" s="2"/>
      <c r="H3" s="2" t="s">
        <v>42</v>
      </c>
    </row>
    <row r="4" spans="3:10" x14ac:dyDescent="0.45">
      <c r="C4" s="1" t="s">
        <v>0</v>
      </c>
      <c r="D4" s="3">
        <v>100000</v>
      </c>
      <c r="E4" s="3"/>
      <c r="F4" s="3">
        <f>D4</f>
        <v>100000</v>
      </c>
      <c r="G4" s="3"/>
      <c r="H4" s="3">
        <f>F4-D12</f>
        <v>99000</v>
      </c>
      <c r="I4" s="3"/>
    </row>
    <row r="5" spans="3:10" x14ac:dyDescent="0.45">
      <c r="C5" s="1" t="s">
        <v>41</v>
      </c>
      <c r="D5" s="3">
        <v>100</v>
      </c>
      <c r="E5" s="3"/>
      <c r="F5" s="3">
        <f>D8</f>
        <v>2000</v>
      </c>
      <c r="G5" s="3"/>
      <c r="H5" s="3">
        <f>F5-D12</f>
        <v>1000</v>
      </c>
      <c r="I5" s="3"/>
    </row>
    <row r="6" spans="3:10" x14ac:dyDescent="0.45">
      <c r="C6" s="1" t="s">
        <v>40</v>
      </c>
      <c r="D6" s="3">
        <f>D4-D5</f>
        <v>99900</v>
      </c>
      <c r="E6" s="3"/>
      <c r="F6" s="3">
        <f>F4-F5</f>
        <v>98000</v>
      </c>
      <c r="G6" s="3"/>
      <c r="H6" s="3">
        <f>H4-H5</f>
        <v>98000</v>
      </c>
      <c r="I6" s="3"/>
    </row>
    <row r="7" spans="3:10" x14ac:dyDescent="0.45">
      <c r="D7" s="3"/>
      <c r="E7" s="3"/>
      <c r="F7" s="3"/>
      <c r="G7" s="3"/>
      <c r="H7" s="3"/>
      <c r="I7" s="3"/>
    </row>
    <row r="8" spans="3:10" x14ac:dyDescent="0.45">
      <c r="C8" s="1" t="s">
        <v>39</v>
      </c>
      <c r="D8" s="3">
        <f>2%*D4</f>
        <v>2000</v>
      </c>
      <c r="E8" s="3"/>
      <c r="F8" s="3"/>
      <c r="G8" s="3"/>
      <c r="H8" s="3"/>
      <c r="I8" s="3"/>
    </row>
    <row r="9" spans="3:10" x14ac:dyDescent="0.45">
      <c r="C9" s="1" t="s">
        <v>38</v>
      </c>
      <c r="D9" s="3">
        <f>D8-D5</f>
        <v>1900</v>
      </c>
      <c r="E9" s="3"/>
      <c r="F9" s="3"/>
      <c r="G9" s="3"/>
      <c r="H9" s="3"/>
      <c r="I9" s="3"/>
    </row>
    <row r="10" spans="3:10" x14ac:dyDescent="0.45">
      <c r="C10" s="1" t="s">
        <v>26</v>
      </c>
      <c r="D10" s="3">
        <f>D9</f>
        <v>1900</v>
      </c>
      <c r="E10" s="3"/>
      <c r="F10" s="3"/>
      <c r="G10" s="3"/>
      <c r="H10" s="3"/>
      <c r="I10" s="3"/>
      <c r="J10" s="1" t="s">
        <v>36</v>
      </c>
    </row>
    <row r="11" spans="3:10" x14ac:dyDescent="0.45">
      <c r="D11" s="3"/>
      <c r="E11" s="3"/>
      <c r="F11" s="3"/>
      <c r="G11" s="3"/>
      <c r="H11" s="3"/>
      <c r="I11" s="3"/>
    </row>
    <row r="12" spans="3:10" x14ac:dyDescent="0.45">
      <c r="C12" s="1" t="s">
        <v>37</v>
      </c>
      <c r="D12" s="3">
        <v>1000</v>
      </c>
      <c r="E12" s="3"/>
      <c r="F12" s="3"/>
      <c r="G12" s="3"/>
      <c r="H12" s="3"/>
      <c r="I12" s="3"/>
    </row>
    <row r="13" spans="3:10" x14ac:dyDescent="0.45">
      <c r="D13"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8"/>
  <sheetViews>
    <sheetView topLeftCell="A21" workbookViewId="0">
      <selection activeCell="C44" sqref="C44"/>
    </sheetView>
  </sheetViews>
  <sheetFormatPr defaultRowHeight="13.8" x14ac:dyDescent="0.45"/>
  <cols>
    <col min="1" max="1" width="5.83984375" style="1" customWidth="1"/>
    <col min="2" max="2" width="48.83984375" style="1" bestFit="1" customWidth="1"/>
    <col min="3" max="6" width="12.68359375" style="1" customWidth="1"/>
    <col min="7" max="16384" width="8.83984375" style="1"/>
  </cols>
  <sheetData>
    <row r="2" spans="2:6" ht="14.1" x14ac:dyDescent="0.5">
      <c r="B2" s="15" t="s">
        <v>21</v>
      </c>
    </row>
    <row r="4" spans="2:6" ht="14.1" x14ac:dyDescent="0.5">
      <c r="B4" s="2" t="s">
        <v>14</v>
      </c>
      <c r="C4" s="2">
        <v>2018</v>
      </c>
      <c r="D4" s="2"/>
      <c r="E4" s="2"/>
      <c r="F4" s="2">
        <v>2019</v>
      </c>
    </row>
    <row r="5" spans="2:6" x14ac:dyDescent="0.45">
      <c r="B5" s="1" t="s">
        <v>0</v>
      </c>
      <c r="C5" s="3">
        <f>C6+C7</f>
        <v>3298</v>
      </c>
      <c r="F5" s="3"/>
    </row>
    <row r="6" spans="2:6" x14ac:dyDescent="0.45">
      <c r="B6" s="1" t="s">
        <v>1</v>
      </c>
      <c r="C6" s="3">
        <v>190</v>
      </c>
      <c r="F6" s="3"/>
    </row>
    <row r="7" spans="2:6" x14ac:dyDescent="0.45">
      <c r="B7" s="1" t="s">
        <v>2</v>
      </c>
      <c r="C7" s="3">
        <v>3108</v>
      </c>
      <c r="F7" s="3"/>
    </row>
    <row r="8" spans="2:6" x14ac:dyDescent="0.45">
      <c r="C8" s="3"/>
    </row>
    <row r="9" spans="2:6" x14ac:dyDescent="0.45">
      <c r="B9" s="1" t="s">
        <v>13</v>
      </c>
      <c r="C9" s="3">
        <v>160</v>
      </c>
    </row>
    <row r="11" spans="2:6" ht="14.1" x14ac:dyDescent="0.5">
      <c r="B11" s="2" t="s">
        <v>30</v>
      </c>
      <c r="C11" s="2"/>
      <c r="D11" s="2"/>
      <c r="E11" s="2"/>
      <c r="F11" s="2"/>
    </row>
    <row r="12" spans="2:6" x14ac:dyDescent="0.45">
      <c r="B12" s="1" t="s">
        <v>0</v>
      </c>
      <c r="C12" s="3"/>
    </row>
    <row r="13" spans="2:6" x14ac:dyDescent="0.45">
      <c r="B13" s="1" t="s">
        <v>1</v>
      </c>
      <c r="C13" s="3"/>
    </row>
    <row r="14" spans="2:6" x14ac:dyDescent="0.45">
      <c r="B14" s="1" t="s">
        <v>2</v>
      </c>
      <c r="C14" s="3"/>
    </row>
    <row r="15" spans="2:6" x14ac:dyDescent="0.45">
      <c r="C15" s="3"/>
    </row>
    <row r="16" spans="2:6" x14ac:dyDescent="0.45">
      <c r="B16" s="1" t="s">
        <v>15</v>
      </c>
      <c r="C16" s="3">
        <v>9331</v>
      </c>
    </row>
    <row r="17" spans="2:6" x14ac:dyDescent="0.45">
      <c r="B17" s="1" t="s">
        <v>16</v>
      </c>
      <c r="C17" s="3">
        <v>8660</v>
      </c>
    </row>
    <row r="19" spans="2:6" ht="14.1" x14ac:dyDescent="0.5">
      <c r="B19" s="2" t="s">
        <v>19</v>
      </c>
      <c r="C19" s="2"/>
      <c r="D19" s="2"/>
      <c r="E19" s="2"/>
      <c r="F19" s="2"/>
    </row>
    <row r="20" spans="2:6" x14ac:dyDescent="0.45">
      <c r="B20" s="1" t="s">
        <v>0</v>
      </c>
      <c r="C20" s="3"/>
    </row>
    <row r="21" spans="2:6" x14ac:dyDescent="0.45">
      <c r="B21" s="1" t="s">
        <v>1</v>
      </c>
      <c r="C21" s="3"/>
    </row>
    <row r="22" spans="2:6" x14ac:dyDescent="0.45">
      <c r="B22" s="1" t="s">
        <v>2</v>
      </c>
      <c r="C22" s="3"/>
    </row>
    <row r="24" spans="2:6" ht="14.1" x14ac:dyDescent="0.5">
      <c r="B24" s="2" t="s">
        <v>22</v>
      </c>
      <c r="C24" s="2"/>
      <c r="D24" s="4"/>
      <c r="E24" s="4"/>
      <c r="F24" s="4"/>
    </row>
    <row r="25" spans="2:6" x14ac:dyDescent="0.45">
      <c r="B25" s="1" t="s">
        <v>3</v>
      </c>
      <c r="C25" s="3">
        <v>4700</v>
      </c>
    </row>
    <row r="26" spans="2:6" x14ac:dyDescent="0.45">
      <c r="B26" s="1" t="s">
        <v>4</v>
      </c>
      <c r="C26" s="5">
        <v>0.03</v>
      </c>
    </row>
    <row r="27" spans="2:6" x14ac:dyDescent="0.45">
      <c r="B27" s="1" t="s">
        <v>28</v>
      </c>
    </row>
    <row r="29" spans="2:6" s="8" customFormat="1" ht="27.6" x14ac:dyDescent="0.45">
      <c r="B29" s="6" t="s">
        <v>20</v>
      </c>
      <c r="C29" s="7" t="s">
        <v>10</v>
      </c>
      <c r="D29" s="7" t="s">
        <v>4</v>
      </c>
      <c r="E29" s="7" t="s">
        <v>11</v>
      </c>
    </row>
    <row r="30" spans="2:6" x14ac:dyDescent="0.45">
      <c r="B30" s="1" t="s">
        <v>6</v>
      </c>
      <c r="C30" s="3">
        <v>1200</v>
      </c>
      <c r="D30" s="9">
        <v>0</v>
      </c>
    </row>
    <row r="31" spans="2:6" x14ac:dyDescent="0.45">
      <c r="B31" s="1" t="s">
        <v>7</v>
      </c>
      <c r="C31" s="3">
        <v>700</v>
      </c>
      <c r="D31" s="9">
        <v>0.02</v>
      </c>
    </row>
    <row r="32" spans="2:6" x14ac:dyDescent="0.45">
      <c r="B32" s="1" t="s">
        <v>8</v>
      </c>
      <c r="C32" s="3">
        <v>500</v>
      </c>
      <c r="D32" s="9">
        <v>7.0000000000000007E-2</v>
      </c>
    </row>
    <row r="33" spans="2:5" x14ac:dyDescent="0.45">
      <c r="B33" s="4" t="s">
        <v>9</v>
      </c>
      <c r="C33" s="10">
        <v>200</v>
      </c>
      <c r="D33" s="11">
        <v>0.2</v>
      </c>
      <c r="E33" s="4"/>
    </row>
    <row r="34" spans="2:5" x14ac:dyDescent="0.45">
      <c r="B34" s="1" t="s">
        <v>29</v>
      </c>
      <c r="C34" s="3"/>
    </row>
    <row r="35" spans="2:5" x14ac:dyDescent="0.45">
      <c r="C35" s="3"/>
    </row>
    <row r="36" spans="2:5" x14ac:dyDescent="0.45">
      <c r="B36" s="1" t="s">
        <v>11</v>
      </c>
      <c r="C36" s="3"/>
    </row>
    <row r="37" spans="2:5" x14ac:dyDescent="0.45">
      <c r="B37" s="1" t="s">
        <v>18</v>
      </c>
      <c r="C37" s="3"/>
    </row>
    <row r="38" spans="2:5" x14ac:dyDescent="0.45">
      <c r="B38" s="4" t="s">
        <v>31</v>
      </c>
      <c r="C38" s="10"/>
    </row>
    <row r="39" spans="2:5" ht="14.1" x14ac:dyDescent="0.5">
      <c r="B39" s="12" t="s">
        <v>17</v>
      </c>
      <c r="C39" s="13"/>
    </row>
    <row r="42" spans="2:5" ht="14.1" x14ac:dyDescent="0.5">
      <c r="B42" s="2" t="s">
        <v>23</v>
      </c>
      <c r="C42" s="2"/>
    </row>
    <row r="43" spans="2:5" x14ac:dyDescent="0.45">
      <c r="B43" s="1" t="s">
        <v>24</v>
      </c>
      <c r="C43" s="3">
        <v>22350</v>
      </c>
    </row>
    <row r="44" spans="2:5" x14ac:dyDescent="0.45">
      <c r="B44" s="1" t="s">
        <v>25</v>
      </c>
      <c r="C44" s="3">
        <v>9699</v>
      </c>
    </row>
    <row r="45" spans="2:5" x14ac:dyDescent="0.45">
      <c r="B45" s="4" t="s">
        <v>26</v>
      </c>
      <c r="C45" s="10"/>
    </row>
    <row r="46" spans="2:5" x14ac:dyDescent="0.45">
      <c r="B46" s="1" t="s">
        <v>27</v>
      </c>
      <c r="C46" s="3">
        <f>C43-C44-C45</f>
        <v>12651</v>
      </c>
    </row>
    <row r="48" spans="2:5" x14ac:dyDescent="0.45">
      <c r="B48" s="1" t="s">
        <v>27</v>
      </c>
      <c r="C48" s="14">
        <f>C46/C43</f>
        <v>0.56604026845637578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53"/>
  <sheetViews>
    <sheetView tabSelected="1" topLeftCell="A27" workbookViewId="0">
      <selection activeCell="G45" sqref="G45"/>
    </sheetView>
  </sheetViews>
  <sheetFormatPr defaultRowHeight="13.8" x14ac:dyDescent="0.45"/>
  <cols>
    <col min="1" max="1" width="5.83984375" style="1" customWidth="1"/>
    <col min="2" max="2" width="48.83984375" style="1" bestFit="1" customWidth="1"/>
    <col min="3" max="6" width="12.68359375" style="1" customWidth="1"/>
    <col min="7" max="16384" width="8.83984375" style="1"/>
  </cols>
  <sheetData>
    <row r="2" spans="2:6" ht="14.1" x14ac:dyDescent="0.5">
      <c r="B2" s="15" t="s">
        <v>21</v>
      </c>
    </row>
    <row r="4" spans="2:6" ht="14.1" x14ac:dyDescent="0.5">
      <c r="B4" s="2" t="s">
        <v>14</v>
      </c>
      <c r="C4" s="2">
        <v>2018</v>
      </c>
      <c r="D4" s="2"/>
      <c r="E4" s="2"/>
      <c r="F4" s="2">
        <v>2019</v>
      </c>
    </row>
    <row r="5" spans="2:6" x14ac:dyDescent="0.45">
      <c r="B5" s="1" t="s">
        <v>0</v>
      </c>
      <c r="C5" s="3">
        <f>C6+C7</f>
        <v>3298</v>
      </c>
      <c r="F5" s="3">
        <f>C20</f>
        <v>3809</v>
      </c>
    </row>
    <row r="6" spans="2:6" x14ac:dyDescent="0.45">
      <c r="B6" s="1" t="s">
        <v>1</v>
      </c>
      <c r="C6" s="3">
        <v>190</v>
      </c>
      <c r="F6" s="3">
        <f>C36</f>
        <v>230</v>
      </c>
    </row>
    <row r="7" spans="2:6" x14ac:dyDescent="0.45">
      <c r="B7" s="1" t="s">
        <v>2</v>
      </c>
      <c r="C7" s="3">
        <v>3108</v>
      </c>
      <c r="F7" s="3">
        <f>F5-F6</f>
        <v>3579</v>
      </c>
    </row>
    <row r="8" spans="2:6" x14ac:dyDescent="0.45">
      <c r="C8" s="3"/>
    </row>
    <row r="9" spans="2:6" x14ac:dyDescent="0.45">
      <c r="B9" s="1" t="s">
        <v>13</v>
      </c>
      <c r="C9" s="3">
        <v>160</v>
      </c>
    </row>
    <row r="11" spans="2:6" ht="14.1" x14ac:dyDescent="0.5">
      <c r="B11" s="2" t="s">
        <v>30</v>
      </c>
      <c r="C11" s="2"/>
      <c r="D11" s="2"/>
      <c r="E11" s="2"/>
      <c r="F11" s="2"/>
    </row>
    <row r="12" spans="2:6" x14ac:dyDescent="0.45">
      <c r="B12" s="1" t="s">
        <v>0</v>
      </c>
      <c r="C12" s="3">
        <f>C5-C9</f>
        <v>3138</v>
      </c>
    </row>
    <row r="13" spans="2:6" x14ac:dyDescent="0.45">
      <c r="B13" s="1" t="s">
        <v>1</v>
      </c>
      <c r="C13" s="3">
        <f>C6-C9</f>
        <v>30</v>
      </c>
    </row>
    <row r="14" spans="2:6" x14ac:dyDescent="0.45">
      <c r="B14" s="1" t="s">
        <v>2</v>
      </c>
      <c r="C14" s="3">
        <f>C12-C13</f>
        <v>3108</v>
      </c>
    </row>
    <row r="15" spans="2:6" x14ac:dyDescent="0.45">
      <c r="C15" s="3"/>
    </row>
    <row r="16" spans="2:6" x14ac:dyDescent="0.45">
      <c r="B16" s="1" t="s">
        <v>15</v>
      </c>
      <c r="C16" s="3">
        <v>9331</v>
      </c>
    </row>
    <row r="17" spans="2:6" x14ac:dyDescent="0.45">
      <c r="B17" s="1" t="s">
        <v>16</v>
      </c>
      <c r="C17" s="3">
        <v>8660</v>
      </c>
    </row>
    <row r="19" spans="2:6" ht="14.1" x14ac:dyDescent="0.5">
      <c r="B19" s="2" t="s">
        <v>19</v>
      </c>
      <c r="C19" s="2"/>
      <c r="D19" s="2"/>
      <c r="E19" s="2"/>
      <c r="F19" s="2"/>
    </row>
    <row r="20" spans="2:6" x14ac:dyDescent="0.45">
      <c r="B20" s="1" t="s">
        <v>0</v>
      </c>
      <c r="C20" s="3">
        <f>C12+C16-C17</f>
        <v>3809</v>
      </c>
    </row>
    <row r="21" spans="2:6" x14ac:dyDescent="0.45">
      <c r="B21" s="1" t="s">
        <v>1</v>
      </c>
      <c r="C21" s="3">
        <f>C13</f>
        <v>30</v>
      </c>
    </row>
    <row r="22" spans="2:6" x14ac:dyDescent="0.45">
      <c r="B22" s="1" t="s">
        <v>2</v>
      </c>
      <c r="C22" s="3">
        <f>C20-C21</f>
        <v>3779</v>
      </c>
      <c r="D22" s="3"/>
    </row>
    <row r="24" spans="2:6" ht="14.1" x14ac:dyDescent="0.5">
      <c r="B24" s="2" t="s">
        <v>22</v>
      </c>
      <c r="C24" s="2"/>
      <c r="D24" s="4"/>
      <c r="E24" s="4"/>
      <c r="F24" s="4"/>
    </row>
    <row r="25" spans="2:6" x14ac:dyDescent="0.45">
      <c r="B25" s="1" t="s">
        <v>3</v>
      </c>
      <c r="C25" s="3">
        <v>4700</v>
      </c>
    </row>
    <row r="26" spans="2:6" x14ac:dyDescent="0.45">
      <c r="B26" s="1" t="s">
        <v>4</v>
      </c>
      <c r="C26" s="5">
        <v>0.03</v>
      </c>
    </row>
    <row r="27" spans="2:6" x14ac:dyDescent="0.45">
      <c r="B27" s="1" t="s">
        <v>5</v>
      </c>
      <c r="C27" s="1">
        <f>C25*C26</f>
        <v>141</v>
      </c>
    </row>
    <row r="29" spans="2:6" s="8" customFormat="1" ht="27.6" x14ac:dyDescent="0.45">
      <c r="B29" s="6" t="s">
        <v>20</v>
      </c>
      <c r="C29" s="7" t="s">
        <v>10</v>
      </c>
      <c r="D29" s="7" t="s">
        <v>4</v>
      </c>
      <c r="E29" s="7" t="s">
        <v>11</v>
      </c>
    </row>
    <row r="30" spans="2:6" x14ac:dyDescent="0.45">
      <c r="B30" s="1" t="s">
        <v>6</v>
      </c>
      <c r="C30" s="3">
        <v>1200</v>
      </c>
      <c r="D30" s="9">
        <v>0</v>
      </c>
      <c r="E30" s="1">
        <f>C30*D30</f>
        <v>0</v>
      </c>
    </row>
    <row r="31" spans="2:6" x14ac:dyDescent="0.45">
      <c r="B31" s="1" t="s">
        <v>7</v>
      </c>
      <c r="C31" s="3">
        <v>700</v>
      </c>
      <c r="D31" s="9">
        <v>0.02</v>
      </c>
      <c r="E31" s="1">
        <f t="shared" ref="E31:E33" si="0">C31*D31</f>
        <v>14</v>
      </c>
    </row>
    <row r="32" spans="2:6" x14ac:dyDescent="0.45">
      <c r="B32" s="1" t="s">
        <v>8</v>
      </c>
      <c r="C32" s="3">
        <v>500</v>
      </c>
      <c r="D32" s="9">
        <v>7.0000000000000007E-2</v>
      </c>
      <c r="E32" s="1">
        <f t="shared" si="0"/>
        <v>35</v>
      </c>
    </row>
    <row r="33" spans="2:5" x14ac:dyDescent="0.45">
      <c r="B33" s="4" t="s">
        <v>9</v>
      </c>
      <c r="C33" s="10">
        <v>200</v>
      </c>
      <c r="D33" s="11">
        <v>0.2</v>
      </c>
      <c r="E33" s="4">
        <f t="shared" si="0"/>
        <v>40</v>
      </c>
    </row>
    <row r="34" spans="2:5" x14ac:dyDescent="0.45">
      <c r="B34" s="1" t="s">
        <v>12</v>
      </c>
      <c r="C34" s="3"/>
      <c r="E34" s="1">
        <f>SUM(E30:E33)</f>
        <v>89</v>
      </c>
    </row>
    <row r="35" spans="2:5" x14ac:dyDescent="0.45">
      <c r="C35" s="3"/>
    </row>
    <row r="36" spans="2:5" x14ac:dyDescent="0.45">
      <c r="B36" s="1" t="s">
        <v>11</v>
      </c>
      <c r="C36" s="3">
        <f>C27+E34</f>
        <v>230</v>
      </c>
    </row>
    <row r="37" spans="2:5" x14ac:dyDescent="0.45">
      <c r="B37" s="1" t="s">
        <v>18</v>
      </c>
      <c r="C37" s="3">
        <f>C13</f>
        <v>30</v>
      </c>
    </row>
    <row r="38" spans="2:5" x14ac:dyDescent="0.45">
      <c r="B38" s="4" t="s">
        <v>31</v>
      </c>
      <c r="C38" s="10">
        <f>C36-C37</f>
        <v>200</v>
      </c>
    </row>
    <row r="39" spans="2:5" ht="14.1" x14ac:dyDescent="0.5">
      <c r="B39" s="12" t="s">
        <v>17</v>
      </c>
      <c r="C39" s="13">
        <f>C38</f>
        <v>200</v>
      </c>
    </row>
    <row r="42" spans="2:5" ht="14.1" x14ac:dyDescent="0.5">
      <c r="B42" s="2" t="s">
        <v>23</v>
      </c>
      <c r="C42" s="2"/>
    </row>
    <row r="43" spans="2:5" x14ac:dyDescent="0.45">
      <c r="B43" s="1" t="s">
        <v>24</v>
      </c>
      <c r="C43" s="3">
        <v>22350</v>
      </c>
    </row>
    <row r="44" spans="2:5" x14ac:dyDescent="0.45">
      <c r="B44" s="1" t="s">
        <v>25</v>
      </c>
      <c r="C44" s="3">
        <v>9699</v>
      </c>
    </row>
    <row r="45" spans="2:5" x14ac:dyDescent="0.45">
      <c r="B45" s="4" t="s">
        <v>26</v>
      </c>
      <c r="C45" s="10">
        <f>C39</f>
        <v>200</v>
      </c>
    </row>
    <row r="46" spans="2:5" x14ac:dyDescent="0.45">
      <c r="B46" s="1" t="s">
        <v>27</v>
      </c>
      <c r="C46" s="3">
        <f>C43-C44-C45</f>
        <v>12451</v>
      </c>
    </row>
    <row r="48" spans="2:5" x14ac:dyDescent="0.45">
      <c r="B48" s="1" t="s">
        <v>27</v>
      </c>
      <c r="C48" s="14">
        <f>C46/C43</f>
        <v>0.55709172259507833</v>
      </c>
    </row>
    <row r="50" spans="2:13" ht="14.1" x14ac:dyDescent="0.5">
      <c r="B50" s="2" t="s">
        <v>32</v>
      </c>
      <c r="C50" s="2"/>
      <c r="D50" s="2"/>
      <c r="E50" s="2"/>
      <c r="F50" s="2"/>
      <c r="G50" s="2"/>
      <c r="H50" s="2"/>
      <c r="I50" s="2"/>
      <c r="J50" s="2"/>
      <c r="K50" s="2"/>
      <c r="L50" s="2"/>
      <c r="M50" s="2"/>
    </row>
    <row r="51" spans="2:13" x14ac:dyDescent="0.45">
      <c r="B51" s="1" t="s">
        <v>35</v>
      </c>
    </row>
    <row r="52" spans="2:13" x14ac:dyDescent="0.45">
      <c r="B52" s="1" t="s">
        <v>33</v>
      </c>
    </row>
    <row r="53" spans="2:13" x14ac:dyDescent="0.45">
      <c r="B53"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 simple example</vt:lpstr>
      <vt:lpstr>Template</vt:lpstr>
      <vt:lpstr>With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2023-06-04T02:59:06Z</dcterms:modified>
</cp:coreProperties>
</file>