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/>
  <xr:revisionPtr revIDLastSave="6" documentId="11_93F5BE4FDE6A6DED8C2434A74C2BB79B47A4EB91" xr6:coauthVersionLast="47" xr6:coauthVersionMax="47" xr10:uidLastSave="{050C1706-EC74-484E-8B76-E5A2628AD1BC}"/>
  <bookViews>
    <workbookView xWindow="-96" yWindow="-96" windowWidth="23232" windowHeight="13872" xr2:uid="{00000000-000D-0000-FFFF-FFFF00000000}"/>
  </bookViews>
  <sheets>
    <sheet name="Depreciation example - 5y" sheetId="5" r:id="rId1"/>
    <sheet name="Depreciation example - 8y" sheetId="6" state="hidden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6" l="1"/>
  <c r="E19" i="6"/>
  <c r="E20" i="6"/>
  <c r="E21" i="6"/>
  <c r="I14" i="6"/>
  <c r="J14" i="6"/>
  <c r="K14" i="6"/>
  <c r="L14" i="6"/>
  <c r="I15" i="6"/>
  <c r="J15" i="6"/>
  <c r="D14" i="6"/>
  <c r="E18" i="6"/>
  <c r="K15" i="6"/>
  <c r="E14" i="6"/>
  <c r="F14" i="6"/>
  <c r="E15" i="6"/>
  <c r="E16" i="6"/>
  <c r="E17" i="6"/>
  <c r="G14" i="6"/>
  <c r="D15" i="6"/>
  <c r="F15" i="6"/>
  <c r="L15" i="6"/>
  <c r="I16" i="6"/>
  <c r="J16" i="6"/>
  <c r="K16" i="6"/>
  <c r="C23" i="6"/>
  <c r="G15" i="6"/>
  <c r="D16" i="6"/>
  <c r="F16" i="6"/>
  <c r="L16" i="6"/>
  <c r="I17" i="6"/>
  <c r="J17" i="6"/>
  <c r="K17" i="6"/>
  <c r="L17" i="6"/>
  <c r="I18" i="6"/>
  <c r="J18" i="6"/>
  <c r="K18" i="6"/>
  <c r="L18" i="6"/>
  <c r="I19" i="6"/>
  <c r="J19" i="6"/>
  <c r="K19" i="6"/>
  <c r="G16" i="6"/>
  <c r="F17" i="6"/>
  <c r="L19" i="6"/>
  <c r="I20" i="6"/>
  <c r="J20" i="6"/>
  <c r="K20" i="6"/>
  <c r="G17" i="6"/>
  <c r="D18" i="6"/>
  <c r="F18" i="6"/>
  <c r="C28" i="6"/>
  <c r="C29" i="6"/>
  <c r="C30" i="6"/>
  <c r="D17" i="6"/>
  <c r="L20" i="6"/>
  <c r="I21" i="6"/>
  <c r="J21" i="6"/>
  <c r="K21" i="6"/>
  <c r="L21" i="6"/>
  <c r="G18" i="6"/>
  <c r="D19" i="6"/>
  <c r="F19" i="6"/>
  <c r="F20" i="6"/>
  <c r="G19" i="6"/>
  <c r="D20" i="6"/>
  <c r="F21" i="6"/>
  <c r="G21" i="6"/>
  <c r="G20" i="6"/>
  <c r="D21" i="6"/>
</calcChain>
</file>

<file path=xl/sharedStrings.xml><?xml version="1.0" encoding="utf-8"?>
<sst xmlns="http://schemas.openxmlformats.org/spreadsheetml/2006/main" count="48" uniqueCount="22">
  <si>
    <t>Tax rate</t>
  </si>
  <si>
    <t>Asset initial cost</t>
  </si>
  <si>
    <t xml:space="preserve">Useful life </t>
  </si>
  <si>
    <t>Salvage value</t>
  </si>
  <si>
    <t>Depreciation base</t>
  </si>
  <si>
    <t>SL depreciation</t>
  </si>
  <si>
    <t xml:space="preserve">Accumulated depreciation </t>
  </si>
  <si>
    <t>Beg net book value</t>
  </si>
  <si>
    <t>End net book value</t>
  </si>
  <si>
    <t>Year</t>
  </si>
  <si>
    <t>Double-declining balance</t>
  </si>
  <si>
    <t>Sale proceeds</t>
  </si>
  <si>
    <t>Net proceeds</t>
  </si>
  <si>
    <t>Tax( owed) / credit</t>
  </si>
  <si>
    <t>Gain / (loss) for the IS</t>
  </si>
  <si>
    <t>Calculations</t>
  </si>
  <si>
    <t>Depreciation expense</t>
  </si>
  <si>
    <t>Difference expense 5y vs 8y</t>
  </si>
  <si>
    <t>Coffee Life roasting machine - Depreciation example - 8 years</t>
  </si>
  <si>
    <t>Coffee Life roasting machine - Depreciation example - 5 years</t>
  </si>
  <si>
    <t>Tax shield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</si>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</sst>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/>
    <xf numFmtId="3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0" fillId="2" borderId="0" xfId="0" applyNumberFormat="1" applyFill="1" applyAlignment="1">
      <alignment wrapText="1"/>
    </xf>
    <xf numFmtId="0" fontId="3" fillId="0" borderId="0" xfId="0" applyFont="1"/>
    <xf numFmtId="0" fontId="2" fillId="3" borderId="2" xfId="0" applyFont="1" applyFill="1" applyBorder="1"/>
    <xf numFmtId="3" fontId="2" fillId="3" borderId="3" xfId="0" applyNumberFormat="1" applyFont="1" applyFill="1" applyBorder="1"/>
    <xf numFmtId="0" fontId="4" fillId="0" borderId="0" xfId="0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wrapText="1"/>
    </xf>
    <xf numFmtId="0" fontId="5" fillId="0" borderId="0" xfId="0" applyFont="1"/>
    <xf numFmtId="9" fontId="4" fillId="0" borderId="0" xfId="1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3" fontId="4" fillId="0" borderId="1" xfId="0" applyNumberFormat="1" applyFont="1" applyBorder="1" applyAlignment="1">
      <alignment wrapText="1"/>
    </xf>
    <xf numFmtId="3" fontId="4" fillId="0" borderId="0" xfId="0" applyNumberFormat="1" applyFont="1"/>
    <xf numFmtId="9" fontId="4" fillId="0" borderId="0" xfId="1" applyFont="1"/>
    <xf numFmtId="0" fontId="6" fillId="0" borderId="0" xfId="0" applyFont="1"/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6"/>
  <sheetViews>
    <sheetView tabSelected="1" workbookViewId="0"/>
  </sheetViews>
  <sheetFormatPr defaultColWidth="8.83984375" defaultRowHeight="13.8" x14ac:dyDescent="0.45"/>
  <cols>
    <col min="1" max="1" width="3.41796875" style="16" customWidth="1"/>
    <col min="2" max="2" width="20.83984375" style="16" bestFit="1" customWidth="1"/>
    <col min="3" max="3" width="12.15625" style="16" customWidth="1"/>
    <col min="4" max="4" width="12.68359375" style="17" customWidth="1"/>
    <col min="5" max="5" width="13.83984375" style="17" customWidth="1"/>
    <col min="6" max="6" width="13.20703125" style="17" customWidth="1"/>
    <col min="7" max="7" width="12.68359375" style="17" customWidth="1"/>
    <col min="8" max="8" width="3.41796875" style="17" customWidth="1"/>
    <col min="9" max="9" width="12.68359375" style="17" customWidth="1"/>
    <col min="10" max="10" width="8.15625" style="17" customWidth="1"/>
    <col min="11" max="11" width="12.68359375" style="17" customWidth="1"/>
    <col min="12" max="12" width="14.3671875" style="17" customWidth="1"/>
    <col min="13" max="13" width="13.578125" style="17" customWidth="1"/>
    <col min="14" max="14" width="12.68359375" style="17" customWidth="1"/>
    <col min="15" max="15" width="3.26171875" style="17" customWidth="1"/>
    <col min="16" max="16" width="12.41796875" style="16" customWidth="1"/>
    <col min="17" max="16384" width="8.83984375" style="16"/>
  </cols>
  <sheetData>
    <row r="2" spans="2:16" ht="14.1" x14ac:dyDescent="0.5">
      <c r="B2" s="32" t="s">
        <v>19</v>
      </c>
    </row>
    <row r="4" spans="2:16" x14ac:dyDescent="0.45">
      <c r="B4" s="16" t="s">
        <v>1</v>
      </c>
      <c r="C4" s="18">
        <v>2200000</v>
      </c>
    </row>
    <row r="5" spans="2:16" x14ac:dyDescent="0.45">
      <c r="B5" s="16" t="s">
        <v>3</v>
      </c>
      <c r="C5" s="18">
        <v>200000</v>
      </c>
    </row>
    <row r="6" spans="2:16" x14ac:dyDescent="0.45">
      <c r="B6" s="16" t="s">
        <v>2</v>
      </c>
      <c r="C6" s="16">
        <v>5</v>
      </c>
    </row>
    <row r="8" spans="2:16" ht="14.1" x14ac:dyDescent="0.5">
      <c r="B8" s="19" t="s">
        <v>15</v>
      </c>
      <c r="C8" s="19"/>
    </row>
    <row r="9" spans="2:16" x14ac:dyDescent="0.45">
      <c r="B9" s="16" t="s">
        <v>4</v>
      </c>
      <c r="C9" s="18"/>
    </row>
    <row r="10" spans="2:16" x14ac:dyDescent="0.45">
      <c r="C10" s="20"/>
    </row>
    <row r="12" spans="2:16" ht="14.1" x14ac:dyDescent="0.5">
      <c r="B12" s="19"/>
      <c r="C12" s="19"/>
      <c r="D12" s="33" t="s">
        <v>5</v>
      </c>
      <c r="E12" s="33"/>
      <c r="F12" s="33"/>
      <c r="G12" s="33"/>
      <c r="H12" s="21"/>
      <c r="I12" s="21"/>
      <c r="J12" s="22"/>
      <c r="K12" s="33" t="s">
        <v>10</v>
      </c>
      <c r="L12" s="33"/>
      <c r="M12" s="33"/>
      <c r="N12" s="33"/>
    </row>
    <row r="13" spans="2:16" ht="42.3" x14ac:dyDescent="0.5">
      <c r="B13" s="23" t="s">
        <v>9</v>
      </c>
      <c r="C13" s="24"/>
      <c r="D13" s="25" t="s">
        <v>7</v>
      </c>
      <c r="E13" s="25" t="s">
        <v>16</v>
      </c>
      <c r="F13" s="25" t="s">
        <v>6</v>
      </c>
      <c r="G13" s="25" t="s">
        <v>8</v>
      </c>
      <c r="H13" s="25"/>
      <c r="I13" s="25" t="s">
        <v>20</v>
      </c>
      <c r="J13" s="26"/>
      <c r="K13" s="25" t="s">
        <v>7</v>
      </c>
      <c r="L13" s="25" t="s">
        <v>16</v>
      </c>
      <c r="M13" s="25" t="s">
        <v>6</v>
      </c>
      <c r="N13" s="25" t="s">
        <v>8</v>
      </c>
      <c r="O13" s="27"/>
      <c r="P13" s="25" t="s">
        <v>20</v>
      </c>
    </row>
    <row r="14" spans="2:16" x14ac:dyDescent="0.45">
      <c r="B14" s="16">
        <v>2017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</row>
    <row r="15" spans="2:16" x14ac:dyDescent="0.45">
      <c r="B15" s="16">
        <v>2018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</row>
    <row r="16" spans="2:16" x14ac:dyDescent="0.45">
      <c r="B16" s="16">
        <v>2019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</row>
    <row r="17" spans="2:16" x14ac:dyDescent="0.45">
      <c r="B17" s="16">
        <v>2020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</row>
    <row r="18" spans="2:16" x14ac:dyDescent="0.45">
      <c r="B18" s="28">
        <v>2021</v>
      </c>
      <c r="C18" s="28"/>
      <c r="D18" s="29"/>
      <c r="E18" s="29"/>
      <c r="F18" s="29"/>
      <c r="G18" s="29"/>
      <c r="H18" s="29"/>
      <c r="I18" s="29"/>
      <c r="J18" s="18"/>
      <c r="K18" s="29"/>
      <c r="L18" s="29"/>
      <c r="M18" s="29"/>
      <c r="N18" s="29"/>
      <c r="O18" s="27"/>
      <c r="P18" s="29"/>
    </row>
    <row r="19" spans="2:16" x14ac:dyDescent="0.45">
      <c r="B19" s="16" t="s">
        <v>21</v>
      </c>
      <c r="E19" s="18"/>
      <c r="I19" s="18"/>
      <c r="L19" s="18"/>
      <c r="P19" s="18"/>
    </row>
    <row r="21" spans="2:16" x14ac:dyDescent="0.45">
      <c r="B21" s="16" t="s">
        <v>11</v>
      </c>
      <c r="C21" s="30">
        <v>1200000</v>
      </c>
    </row>
    <row r="22" spans="2:16" x14ac:dyDescent="0.45">
      <c r="B22" s="16" t="s">
        <v>0</v>
      </c>
      <c r="C22" s="31">
        <v>0.21</v>
      </c>
    </row>
    <row r="24" spans="2:16" x14ac:dyDescent="0.45">
      <c r="B24" s="16" t="s">
        <v>14</v>
      </c>
      <c r="C24" s="30"/>
    </row>
    <row r="25" spans="2:16" x14ac:dyDescent="0.45">
      <c r="B25" s="16" t="s">
        <v>13</v>
      </c>
      <c r="C25" s="30"/>
    </row>
    <row r="26" spans="2:16" x14ac:dyDescent="0.45">
      <c r="B26" s="16" t="s">
        <v>12</v>
      </c>
      <c r="C26" s="30"/>
    </row>
  </sheetData>
  <mergeCells count="2">
    <mergeCell ref="D12:G12"/>
    <mergeCell ref="K12:N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0"/>
  <sheetViews>
    <sheetView workbookViewId="0"/>
  </sheetViews>
  <sheetFormatPr defaultColWidth="8.83984375" defaultRowHeight="14.4" x14ac:dyDescent="0.55000000000000004"/>
  <cols>
    <col min="1" max="1" width="3.41796875" customWidth="1"/>
    <col min="2" max="2" width="28" customWidth="1"/>
    <col min="3" max="3" width="12.15625" customWidth="1"/>
    <col min="4" max="7" width="12.68359375" style="4" customWidth="1"/>
    <col min="8" max="8" width="8.15625" style="4" customWidth="1"/>
    <col min="9" max="12" width="12.68359375" style="4" customWidth="1"/>
    <col min="13" max="13" width="12.68359375" customWidth="1"/>
  </cols>
  <sheetData>
    <row r="2" spans="2:12" x14ac:dyDescent="0.55000000000000004">
      <c r="B2" s="13" t="s">
        <v>18</v>
      </c>
    </row>
    <row r="4" spans="2:12" x14ac:dyDescent="0.55000000000000004">
      <c r="B4" t="s">
        <v>1</v>
      </c>
      <c r="C4" s="5">
        <v>2200000</v>
      </c>
    </row>
    <row r="5" spans="2:12" x14ac:dyDescent="0.55000000000000004">
      <c r="B5" t="s">
        <v>3</v>
      </c>
      <c r="C5" s="5">
        <v>200000</v>
      </c>
    </row>
    <row r="6" spans="2:12" x14ac:dyDescent="0.55000000000000004">
      <c r="B6" t="s">
        <v>2</v>
      </c>
      <c r="C6">
        <v>8</v>
      </c>
    </row>
    <row r="8" spans="2:12" x14ac:dyDescent="0.55000000000000004">
      <c r="B8" s="7" t="s">
        <v>15</v>
      </c>
      <c r="C8" s="7"/>
    </row>
    <row r="9" spans="2:12" x14ac:dyDescent="0.55000000000000004">
      <c r="B9" t="s">
        <v>4</v>
      </c>
      <c r="C9" s="5">
        <f>C4-C5</f>
        <v>2000000</v>
      </c>
    </row>
    <row r="10" spans="2:12" x14ac:dyDescent="0.55000000000000004">
      <c r="C10" s="6"/>
    </row>
    <row r="12" spans="2:12" x14ac:dyDescent="0.55000000000000004">
      <c r="B12" s="7"/>
      <c r="C12" s="7"/>
      <c r="D12" s="34" t="s">
        <v>5</v>
      </c>
      <c r="E12" s="34"/>
      <c r="F12" s="34"/>
      <c r="G12" s="34"/>
      <c r="H12" s="8"/>
      <c r="I12" s="34" t="s">
        <v>10</v>
      </c>
      <c r="J12" s="34"/>
      <c r="K12" s="34"/>
      <c r="L12" s="34"/>
    </row>
    <row r="13" spans="2:12" ht="28.8" x14ac:dyDescent="0.55000000000000004">
      <c r="B13" s="9" t="s">
        <v>9</v>
      </c>
      <c r="C13" s="1"/>
      <c r="D13" s="10" t="s">
        <v>7</v>
      </c>
      <c r="E13" s="10" t="s">
        <v>16</v>
      </c>
      <c r="F13" s="10" t="s">
        <v>6</v>
      </c>
      <c r="G13" s="10" t="s">
        <v>8</v>
      </c>
      <c r="H13" s="11"/>
      <c r="I13" s="10" t="s">
        <v>7</v>
      </c>
      <c r="J13" s="10" t="s">
        <v>16</v>
      </c>
      <c r="K13" s="10" t="s">
        <v>6</v>
      </c>
      <c r="L13" s="10" t="s">
        <v>8</v>
      </c>
    </row>
    <row r="14" spans="2:12" x14ac:dyDescent="0.55000000000000004">
      <c r="B14">
        <v>2017</v>
      </c>
      <c r="D14" s="5">
        <f>C4</f>
        <v>2200000</v>
      </c>
      <c r="E14" s="5">
        <f>$C$9/$C$6</f>
        <v>250000</v>
      </c>
      <c r="F14" s="5">
        <f>E14</f>
        <v>250000</v>
      </c>
      <c r="G14" s="5">
        <f>$C$4-F14</f>
        <v>1950000</v>
      </c>
      <c r="H14" s="5"/>
      <c r="I14" s="5">
        <f>C4</f>
        <v>2200000</v>
      </c>
      <c r="J14" s="5">
        <f>I14*2/$C$6</f>
        <v>550000</v>
      </c>
      <c r="K14" s="5">
        <f>J14</f>
        <v>550000</v>
      </c>
      <c r="L14" s="5">
        <f>$C$4-K14</f>
        <v>1650000</v>
      </c>
    </row>
    <row r="15" spans="2:12" x14ac:dyDescent="0.55000000000000004">
      <c r="B15">
        <v>2018</v>
      </c>
      <c r="D15" s="5">
        <f>G14</f>
        <v>1950000</v>
      </c>
      <c r="E15" s="5">
        <f t="shared" ref="E15:E21" si="0">$C$9/$C$6</f>
        <v>250000</v>
      </c>
      <c r="F15" s="5">
        <f>F14+E15</f>
        <v>500000</v>
      </c>
      <c r="G15" s="5">
        <f t="shared" ref="G15:G18" si="1">$C$4-F15</f>
        <v>1700000</v>
      </c>
      <c r="H15" s="5"/>
      <c r="I15" s="5">
        <f>L14</f>
        <v>1650000</v>
      </c>
      <c r="J15" s="5">
        <f t="shared" ref="J15:J17" si="2">I15*2/$C$6</f>
        <v>412500</v>
      </c>
      <c r="K15" s="5">
        <f>K14+J15</f>
        <v>962500</v>
      </c>
      <c r="L15" s="5">
        <f>$C$4-K15</f>
        <v>1237500</v>
      </c>
    </row>
    <row r="16" spans="2:12" x14ac:dyDescent="0.55000000000000004">
      <c r="B16">
        <v>2019</v>
      </c>
      <c r="D16" s="5">
        <f t="shared" ref="D16:D18" si="3">G15</f>
        <v>1700000</v>
      </c>
      <c r="E16" s="5">
        <f t="shared" si="0"/>
        <v>250000</v>
      </c>
      <c r="F16" s="5">
        <f t="shared" ref="F16:F18" si="4">F15+E16</f>
        <v>750000</v>
      </c>
      <c r="G16" s="12">
        <f>$C$4-F16</f>
        <v>1450000</v>
      </c>
      <c r="H16" s="5"/>
      <c r="I16" s="5">
        <f t="shared" ref="I16:I17" si="5">L15</f>
        <v>1237500</v>
      </c>
      <c r="J16" s="5">
        <f t="shared" si="2"/>
        <v>309375</v>
      </c>
      <c r="K16" s="5">
        <f t="shared" ref="K16:K17" si="6">K15+J16</f>
        <v>1271875</v>
      </c>
      <c r="L16" s="5">
        <f t="shared" ref="L16:L17" si="7">$C$4-K16</f>
        <v>928125</v>
      </c>
    </row>
    <row r="17" spans="2:12" x14ac:dyDescent="0.55000000000000004">
      <c r="B17">
        <v>2020</v>
      </c>
      <c r="D17" s="5">
        <f t="shared" si="3"/>
        <v>1450000</v>
      </c>
      <c r="E17" s="5">
        <f t="shared" si="0"/>
        <v>250000</v>
      </c>
      <c r="F17" s="5">
        <f t="shared" si="4"/>
        <v>1000000</v>
      </c>
      <c r="G17" s="5">
        <f t="shared" si="1"/>
        <v>1200000</v>
      </c>
      <c r="H17" s="5"/>
      <c r="I17" s="5">
        <f t="shared" si="5"/>
        <v>928125</v>
      </c>
      <c r="J17" s="5">
        <f t="shared" si="2"/>
        <v>232031.25</v>
      </c>
      <c r="K17" s="5">
        <f t="shared" si="6"/>
        <v>1503906.25</v>
      </c>
      <c r="L17" s="5">
        <f t="shared" si="7"/>
        <v>696093.75</v>
      </c>
    </row>
    <row r="18" spans="2:12" s="4" customFormat="1" x14ac:dyDescent="0.55000000000000004">
      <c r="B18">
        <v>2021</v>
      </c>
      <c r="C18"/>
      <c r="D18" s="5">
        <f t="shared" si="3"/>
        <v>1200000</v>
      </c>
      <c r="E18" s="5">
        <f t="shared" si="0"/>
        <v>250000</v>
      </c>
      <c r="F18" s="5">
        <f t="shared" si="4"/>
        <v>1250000</v>
      </c>
      <c r="G18" s="5">
        <f t="shared" si="1"/>
        <v>950000</v>
      </c>
      <c r="H18" s="5"/>
      <c r="I18" s="5">
        <f t="shared" ref="I18:I21" si="8">L17</f>
        <v>696093.75</v>
      </c>
      <c r="J18" s="5">
        <f t="shared" ref="J18:J20" si="9">I18*2/$C$6</f>
        <v>174023.4375</v>
      </c>
      <c r="K18" s="5">
        <f t="shared" ref="K18:K21" si="10">K17+J18</f>
        <v>1677929.6875</v>
      </c>
      <c r="L18" s="5">
        <f t="shared" ref="L18:L20" si="11">$C$4-K18</f>
        <v>522070.3125</v>
      </c>
    </row>
    <row r="19" spans="2:12" s="4" customFormat="1" x14ac:dyDescent="0.55000000000000004">
      <c r="B19">
        <v>2022</v>
      </c>
      <c r="C19"/>
      <c r="D19" s="5">
        <f t="shared" ref="D19:D21" si="12">G18</f>
        <v>950000</v>
      </c>
      <c r="E19" s="5">
        <f t="shared" si="0"/>
        <v>250000</v>
      </c>
      <c r="F19" s="5">
        <f t="shared" ref="F19:F21" si="13">F18+E19</f>
        <v>1500000</v>
      </c>
      <c r="G19" s="5">
        <f t="shared" ref="G19:G21" si="14">$C$4-F19</f>
        <v>700000</v>
      </c>
      <c r="H19" s="5"/>
      <c r="I19" s="5">
        <f t="shared" si="8"/>
        <v>522070.3125</v>
      </c>
      <c r="J19" s="5">
        <f t="shared" si="9"/>
        <v>130517.578125</v>
      </c>
      <c r="K19" s="5">
        <f t="shared" si="10"/>
        <v>1808447.265625</v>
      </c>
      <c r="L19" s="5">
        <f t="shared" si="11"/>
        <v>391552.734375</v>
      </c>
    </row>
    <row r="20" spans="2:12" s="4" customFormat="1" x14ac:dyDescent="0.55000000000000004">
      <c r="B20">
        <v>2023</v>
      </c>
      <c r="C20"/>
      <c r="D20" s="5">
        <f t="shared" si="12"/>
        <v>700000</v>
      </c>
      <c r="E20" s="5">
        <f t="shared" si="0"/>
        <v>250000</v>
      </c>
      <c r="F20" s="5">
        <f t="shared" si="13"/>
        <v>1750000</v>
      </c>
      <c r="G20" s="5">
        <f t="shared" si="14"/>
        <v>450000</v>
      </c>
      <c r="H20" s="5"/>
      <c r="I20" s="5">
        <f t="shared" si="8"/>
        <v>391552.734375</v>
      </c>
      <c r="J20" s="5">
        <f t="shared" si="9"/>
        <v>97888.18359375</v>
      </c>
      <c r="K20" s="5">
        <f t="shared" si="10"/>
        <v>1906335.44921875</v>
      </c>
      <c r="L20" s="5">
        <f t="shared" si="11"/>
        <v>293664.55078125</v>
      </c>
    </row>
    <row r="21" spans="2:12" x14ac:dyDescent="0.55000000000000004">
      <c r="B21">
        <v>2024</v>
      </c>
      <c r="D21" s="5">
        <f t="shared" si="12"/>
        <v>450000</v>
      </c>
      <c r="E21" s="5">
        <f t="shared" si="0"/>
        <v>250000</v>
      </c>
      <c r="F21" s="5">
        <f t="shared" si="13"/>
        <v>2000000</v>
      </c>
      <c r="G21" s="5">
        <f t="shared" si="14"/>
        <v>200000</v>
      </c>
      <c r="I21" s="5">
        <f t="shared" si="8"/>
        <v>293664.55078125</v>
      </c>
      <c r="J21" s="5">
        <f>I21-C5</f>
        <v>93664.55078125</v>
      </c>
      <c r="K21" s="5">
        <f t="shared" si="10"/>
        <v>2000000</v>
      </c>
      <c r="L21" s="5">
        <f>$C$4-K21</f>
        <v>200000</v>
      </c>
    </row>
    <row r="22" spans="2:12" ht="14.7" thickBot="1" x14ac:dyDescent="0.6"/>
    <row r="23" spans="2:12" ht="14.7" thickBot="1" x14ac:dyDescent="0.6">
      <c r="B23" s="14" t="s">
        <v>17</v>
      </c>
      <c r="C23" s="15">
        <f>'Depreciation example - 5y'!E14-'Depreciation example - 8y'!E14</f>
        <v>-250000</v>
      </c>
    </row>
    <row r="25" spans="2:12" s="4" customFormat="1" x14ac:dyDescent="0.55000000000000004">
      <c r="B25" t="s">
        <v>11</v>
      </c>
      <c r="C25" s="2">
        <v>1200000</v>
      </c>
    </row>
    <row r="26" spans="2:12" s="4" customFormat="1" x14ac:dyDescent="0.55000000000000004">
      <c r="B26" t="s">
        <v>0</v>
      </c>
      <c r="C26" s="3">
        <v>0.21</v>
      </c>
    </row>
    <row r="28" spans="2:12" s="4" customFormat="1" x14ac:dyDescent="0.55000000000000004">
      <c r="B28" t="s">
        <v>14</v>
      </c>
      <c r="C28" s="2">
        <f>C25-G16</f>
        <v>-250000</v>
      </c>
    </row>
    <row r="29" spans="2:12" s="4" customFormat="1" x14ac:dyDescent="0.55000000000000004">
      <c r="B29" t="s">
        <v>13</v>
      </c>
      <c r="C29" s="2">
        <f>-C26*C28</f>
        <v>52500</v>
      </c>
    </row>
    <row r="30" spans="2:12" s="4" customFormat="1" x14ac:dyDescent="0.55000000000000004">
      <c r="B30" t="s">
        <v>12</v>
      </c>
      <c r="C30" s="2">
        <f>C25+C29</f>
        <v>1252500</v>
      </c>
    </row>
  </sheetData>
  <mergeCells count="2">
    <mergeCell ref="D12:G12"/>
    <mergeCell ref="I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Depreciation example - 5y</vt:lpstr>
      <vt:lpstr>Depreciation example - 8y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2023-05-08T15:52:53Z</dcterms:modified>
</cp:coreProperties>
</file>