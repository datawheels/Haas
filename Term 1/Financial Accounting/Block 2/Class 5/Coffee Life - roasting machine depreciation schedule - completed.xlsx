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/>
  <xr:revisionPtr revIDLastSave="13" documentId="11_92F5BE4F19EA69E2B98AD2E5087288E276272122" xr6:coauthVersionLast="47" xr6:coauthVersionMax="47" xr10:uidLastSave="{AEFB2BD9-4ADB-4615-BA08-77FACC105750}"/>
  <bookViews>
    <workbookView xWindow="-96" yWindow="-96" windowWidth="23232" windowHeight="13872" xr2:uid="{00000000-000D-0000-FFFF-FFFF00000000}"/>
  </bookViews>
  <sheets>
    <sheet name="Depreciation example - 5y" sheetId="5" r:id="rId1"/>
    <sheet name="Depreciation example - 8y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8" i="5" l="1"/>
  <c r="K14" i="5"/>
  <c r="L14" i="5" s="1"/>
  <c r="C9" i="5"/>
  <c r="E14" i="5" s="1"/>
  <c r="C9" i="6"/>
  <c r="E21" i="6" s="1"/>
  <c r="I14" i="6"/>
  <c r="J14" i="6" s="1"/>
  <c r="K14" i="6" s="1"/>
  <c r="D14" i="6"/>
  <c r="D14" i="5"/>
  <c r="L14" i="6" l="1"/>
  <c r="I15" i="6" s="1"/>
  <c r="J15" i="6" s="1"/>
  <c r="K15" i="6"/>
  <c r="I14" i="5"/>
  <c r="F14" i="5"/>
  <c r="P14" i="5"/>
  <c r="M14" i="5"/>
  <c r="E15" i="6"/>
  <c r="E18" i="5"/>
  <c r="I18" i="5" s="1"/>
  <c r="E14" i="6"/>
  <c r="F14" i="6" s="1"/>
  <c r="E18" i="6"/>
  <c r="E17" i="5"/>
  <c r="I17" i="5" s="1"/>
  <c r="E16" i="5"/>
  <c r="I16" i="5" s="1"/>
  <c r="E15" i="5"/>
  <c r="I15" i="5" s="1"/>
  <c r="E17" i="6"/>
  <c r="E16" i="6"/>
  <c r="E20" i="6"/>
  <c r="E19" i="6"/>
  <c r="G14" i="6" l="1"/>
  <c r="D15" i="6" s="1"/>
  <c r="F15" i="6"/>
  <c r="N14" i="5"/>
  <c r="K15" i="5" s="1"/>
  <c r="L15" i="5" s="1"/>
  <c r="E19" i="5"/>
  <c r="I19" i="5" s="1"/>
  <c r="G14" i="5"/>
  <c r="D15" i="5" s="1"/>
  <c r="F15" i="5"/>
  <c r="C23" i="6"/>
  <c r="L15" i="6"/>
  <c r="I16" i="6" s="1"/>
  <c r="J16" i="6" s="1"/>
  <c r="K16" i="6"/>
  <c r="L16" i="6" l="1"/>
  <c r="I17" i="6" s="1"/>
  <c r="J17" i="6" s="1"/>
  <c r="K17" i="6" s="1"/>
  <c r="P15" i="5"/>
  <c r="G15" i="6"/>
  <c r="D16" i="6" s="1"/>
  <c r="F16" i="6"/>
  <c r="G15" i="5"/>
  <c r="D16" i="5" s="1"/>
  <c r="F16" i="5"/>
  <c r="M15" i="5"/>
  <c r="L17" i="6" l="1"/>
  <c r="I18" i="6" s="1"/>
  <c r="J18" i="6" s="1"/>
  <c r="K18" i="6" s="1"/>
  <c r="N15" i="5"/>
  <c r="K16" i="5" s="1"/>
  <c r="L16" i="5" s="1"/>
  <c r="G16" i="6"/>
  <c r="F17" i="6"/>
  <c r="F17" i="5"/>
  <c r="G16" i="5"/>
  <c r="L18" i="6" l="1"/>
  <c r="I19" i="6" s="1"/>
  <c r="J19" i="6" s="1"/>
  <c r="K19" i="6"/>
  <c r="P16" i="5"/>
  <c r="F18" i="5"/>
  <c r="G18" i="5" s="1"/>
  <c r="G17" i="5"/>
  <c r="D18" i="5" s="1"/>
  <c r="C28" i="6"/>
  <c r="C29" i="6" s="1"/>
  <c r="C30" i="6" s="1"/>
  <c r="D17" i="6"/>
  <c r="M16" i="5"/>
  <c r="C24" i="5"/>
  <c r="C25" i="5" s="1"/>
  <c r="C26" i="5" s="1"/>
  <c r="D17" i="5"/>
  <c r="F18" i="6"/>
  <c r="G17" i="6"/>
  <c r="D18" i="6" s="1"/>
  <c r="G18" i="6" l="1"/>
  <c r="D19" i="6" s="1"/>
  <c r="F19" i="6"/>
  <c r="N16" i="5"/>
  <c r="L19" i="6"/>
  <c r="I20" i="6" s="1"/>
  <c r="J20" i="6" s="1"/>
  <c r="K20" i="6"/>
  <c r="L20" i="6" l="1"/>
  <c r="I21" i="6" s="1"/>
  <c r="J21" i="6" s="1"/>
  <c r="K21" i="6" s="1"/>
  <c r="L21" i="6" s="1"/>
  <c r="K24" i="5"/>
  <c r="K25" i="5" s="1"/>
  <c r="K26" i="5" s="1"/>
  <c r="K28" i="5" s="1"/>
  <c r="K17" i="5"/>
  <c r="L17" i="5" s="1"/>
  <c r="G19" i="6"/>
  <c r="D20" i="6" s="1"/>
  <c r="F20" i="6"/>
  <c r="G20" i="6" l="1"/>
  <c r="D21" i="6" s="1"/>
  <c r="F21" i="6"/>
  <c r="G21" i="6" s="1"/>
  <c r="P17" i="5"/>
  <c r="M17" i="5"/>
  <c r="N17" i="5" l="1"/>
  <c r="K18" i="5" s="1"/>
  <c r="L18" i="5"/>
  <c r="P18" i="5" l="1"/>
  <c r="P19" i="5" s="1"/>
  <c r="L19" i="5"/>
  <c r="M18" i="5"/>
  <c r="N18" i="5" s="1"/>
</calcChain>
</file>

<file path=xl/sharedStrings.xml><?xml version="1.0" encoding="utf-8"?>
<sst xmlns="http://schemas.openxmlformats.org/spreadsheetml/2006/main" count="49" uniqueCount="23">
  <si>
    <t>Tax rate</t>
  </si>
  <si>
    <t>Asset initial cost</t>
  </si>
  <si>
    <t xml:space="preserve">Useful life </t>
  </si>
  <si>
    <t>Salvage value</t>
  </si>
  <si>
    <t>Depreciation base</t>
  </si>
  <si>
    <t>SL depreciation</t>
  </si>
  <si>
    <t xml:space="preserve">Accumulated depreciation </t>
  </si>
  <si>
    <t>Beg net book value</t>
  </si>
  <si>
    <t>End net book value</t>
  </si>
  <si>
    <t>Year</t>
  </si>
  <si>
    <t>Double-declining balance</t>
  </si>
  <si>
    <t>Sale proceeds</t>
  </si>
  <si>
    <t>Net proceeds</t>
  </si>
  <si>
    <t>Tax( owed) / credit</t>
  </si>
  <si>
    <t>Gain / (loss) for the IS</t>
  </si>
  <si>
    <t>Calculations</t>
  </si>
  <si>
    <t>Depreciation expense</t>
  </si>
  <si>
    <t>Difference expense 5y vs 8y</t>
  </si>
  <si>
    <t>Coffee Life roasting machine - Depreciation example - 8 years</t>
  </si>
  <si>
    <t>Coffee Life roasting machine - Depreciation example - 5 years</t>
  </si>
  <si>
    <t>Tax shield</t>
  </si>
  <si>
    <t xml:space="preserve">Total </t>
  </si>
  <si>
    <t>Total plus the tax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</si>
</sst>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0" applyFont="1"/>
    <xf numFmtId="9" fontId="2" fillId="0" borderId="0" xfId="1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2" borderId="0" xfId="0" applyNumberFormat="1" applyFont="1" applyFill="1" applyAlignment="1">
      <alignment wrapText="1"/>
    </xf>
    <xf numFmtId="0" fontId="2" fillId="0" borderId="1" xfId="0" applyFont="1" applyBorder="1"/>
    <xf numFmtId="3" fontId="2" fillId="0" borderId="1" xfId="0" applyNumberFormat="1" applyFont="1" applyBorder="1" applyAlignment="1">
      <alignment wrapText="1"/>
    </xf>
    <xf numFmtId="3" fontId="2" fillId="0" borderId="0" xfId="0" applyNumberFormat="1" applyFont="1"/>
    <xf numFmtId="9" fontId="2" fillId="0" borderId="0" xfId="1" applyFont="1"/>
    <xf numFmtId="0" fontId="4" fillId="0" borderId="0" xfId="0" applyFont="1"/>
    <xf numFmtId="0" fontId="3" fillId="3" borderId="2" xfId="0" applyFont="1" applyFill="1" applyBorder="1"/>
    <xf numFmtId="3" fontId="3" fillId="3" borderId="3" xfId="0" applyNumberFormat="1" applyFont="1" applyFill="1" applyBorder="1"/>
    <xf numFmtId="0" fontId="3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8"/>
  <sheetViews>
    <sheetView tabSelected="1" workbookViewId="0">
      <selection activeCell="C29" sqref="C29"/>
    </sheetView>
  </sheetViews>
  <sheetFormatPr defaultColWidth="8.83984375" defaultRowHeight="13.8" x14ac:dyDescent="0.45"/>
  <cols>
    <col min="1" max="1" width="3.41796875" style="1" customWidth="1"/>
    <col min="2" max="2" width="23.578125" style="1" customWidth="1"/>
    <col min="3" max="3" width="12.15625" style="1" customWidth="1"/>
    <col min="4" max="4" width="12.68359375" style="2" customWidth="1"/>
    <col min="5" max="5" width="13.20703125" style="2" customWidth="1"/>
    <col min="6" max="6" width="14.26171875" style="2" customWidth="1"/>
    <col min="7" max="7" width="12.68359375" style="2" customWidth="1"/>
    <col min="8" max="8" width="3.41796875" style="2" customWidth="1"/>
    <col min="9" max="9" width="12.68359375" style="2" customWidth="1"/>
    <col min="10" max="10" width="8.15625" style="2" customWidth="1"/>
    <col min="11" max="11" width="12.68359375" style="2" customWidth="1"/>
    <col min="12" max="12" width="13.20703125" style="2" customWidth="1"/>
    <col min="13" max="13" width="13.734375" style="2" customWidth="1"/>
    <col min="14" max="14" width="12.68359375" style="2" customWidth="1"/>
    <col min="15" max="15" width="3.26171875" style="2" customWidth="1"/>
    <col min="16" max="16" width="12.41796875" style="1" customWidth="1"/>
    <col min="17" max="16384" width="8.83984375" style="1"/>
  </cols>
  <sheetData>
    <row r="2" spans="2:16" ht="14.1" x14ac:dyDescent="0.5">
      <c r="B2" s="18" t="s">
        <v>19</v>
      </c>
    </row>
    <row r="4" spans="2:16" x14ac:dyDescent="0.45">
      <c r="B4" s="1" t="s">
        <v>1</v>
      </c>
      <c r="C4" s="3">
        <v>2200000</v>
      </c>
    </row>
    <row r="5" spans="2:16" x14ac:dyDescent="0.45">
      <c r="B5" s="1" t="s">
        <v>3</v>
      </c>
      <c r="C5" s="3">
        <v>200000</v>
      </c>
    </row>
    <row r="6" spans="2:16" x14ac:dyDescent="0.45">
      <c r="B6" s="1" t="s">
        <v>2</v>
      </c>
      <c r="C6" s="1">
        <v>5</v>
      </c>
    </row>
    <row r="8" spans="2:16" ht="14.1" x14ac:dyDescent="0.5">
      <c r="B8" s="4" t="s">
        <v>15</v>
      </c>
      <c r="C8" s="4"/>
    </row>
    <row r="9" spans="2:16" x14ac:dyDescent="0.45">
      <c r="B9" s="1" t="s">
        <v>4</v>
      </c>
      <c r="C9" s="3">
        <f>C4-C5</f>
        <v>2000000</v>
      </c>
    </row>
    <row r="10" spans="2:16" x14ac:dyDescent="0.45">
      <c r="C10" s="5"/>
    </row>
    <row r="12" spans="2:16" ht="14.1" x14ac:dyDescent="0.5">
      <c r="B12" s="4"/>
      <c r="C12" s="4"/>
      <c r="D12" s="21" t="s">
        <v>5</v>
      </c>
      <c r="E12" s="21"/>
      <c r="F12" s="21"/>
      <c r="G12" s="21"/>
      <c r="H12" s="6"/>
      <c r="I12" s="6"/>
      <c r="J12" s="7"/>
      <c r="K12" s="21" t="s">
        <v>10</v>
      </c>
      <c r="L12" s="21"/>
      <c r="M12" s="21"/>
      <c r="N12" s="21"/>
    </row>
    <row r="13" spans="2:16" ht="28.2" x14ac:dyDescent="0.5">
      <c r="B13" s="8" t="s">
        <v>9</v>
      </c>
      <c r="C13" s="9"/>
      <c r="D13" s="10" t="s">
        <v>7</v>
      </c>
      <c r="E13" s="10" t="s">
        <v>16</v>
      </c>
      <c r="F13" s="10" t="s">
        <v>6</v>
      </c>
      <c r="G13" s="10" t="s">
        <v>8</v>
      </c>
      <c r="H13" s="10"/>
      <c r="I13" s="10" t="s">
        <v>20</v>
      </c>
      <c r="J13" s="11"/>
      <c r="K13" s="10" t="s">
        <v>7</v>
      </c>
      <c r="L13" s="10" t="s">
        <v>16</v>
      </c>
      <c r="M13" s="10" t="s">
        <v>6</v>
      </c>
      <c r="N13" s="10" t="s">
        <v>8</v>
      </c>
      <c r="O13" s="12"/>
      <c r="P13" s="10" t="s">
        <v>20</v>
      </c>
    </row>
    <row r="14" spans="2:16" x14ac:dyDescent="0.45">
      <c r="B14" s="1">
        <v>2017</v>
      </c>
      <c r="D14" s="3">
        <f>C4</f>
        <v>2200000</v>
      </c>
      <c r="E14" s="3">
        <f>$C$9/$C$6</f>
        <v>400000</v>
      </c>
      <c r="F14" s="3">
        <f>E14</f>
        <v>400000</v>
      </c>
      <c r="G14" s="3">
        <f>$C$4-F14</f>
        <v>1800000</v>
      </c>
      <c r="H14" s="3"/>
      <c r="I14" s="3">
        <f>E14*$C$22</f>
        <v>84000</v>
      </c>
      <c r="J14" s="3"/>
      <c r="K14" s="3">
        <f>C4</f>
        <v>2200000</v>
      </c>
      <c r="L14" s="3">
        <f>K14*2/$C$6</f>
        <v>880000</v>
      </c>
      <c r="M14" s="3">
        <f>L14</f>
        <v>880000</v>
      </c>
      <c r="N14" s="3">
        <f>$C$4-M14</f>
        <v>1320000</v>
      </c>
      <c r="P14" s="3">
        <f>L14*$C$22</f>
        <v>184800</v>
      </c>
    </row>
    <row r="15" spans="2:16" x14ac:dyDescent="0.45">
      <c r="B15" s="1">
        <v>2018</v>
      </c>
      <c r="D15" s="3">
        <f>G14</f>
        <v>1800000</v>
      </c>
      <c r="E15" s="3">
        <f t="shared" ref="E15:E18" si="0">$C$9/$C$6</f>
        <v>400000</v>
      </c>
      <c r="F15" s="3">
        <f>F14+E15</f>
        <v>800000</v>
      </c>
      <c r="G15" s="3">
        <f t="shared" ref="G15:G18" si="1">$C$4-F15</f>
        <v>1400000</v>
      </c>
      <c r="H15" s="3"/>
      <c r="I15" s="3">
        <f t="shared" ref="I15:I19" si="2">E15*$C$22</f>
        <v>84000</v>
      </c>
      <c r="J15" s="3"/>
      <c r="K15" s="3">
        <f>N14</f>
        <v>1320000</v>
      </c>
      <c r="L15" s="3">
        <f t="shared" ref="L15:L17" si="3">K15*2/$C$6</f>
        <v>528000</v>
      </c>
      <c r="M15" s="3">
        <f>M14+L15</f>
        <v>1408000</v>
      </c>
      <c r="N15" s="3">
        <f>$C$4-M15</f>
        <v>792000</v>
      </c>
      <c r="P15" s="3">
        <f t="shared" ref="P15:P18" si="4">L15*$C$22</f>
        <v>110880</v>
      </c>
    </row>
    <row r="16" spans="2:16" x14ac:dyDescent="0.45">
      <c r="B16" s="1">
        <v>2019</v>
      </c>
      <c r="D16" s="3">
        <f t="shared" ref="D16:D18" si="5">G15</f>
        <v>1400000</v>
      </c>
      <c r="E16" s="3">
        <f t="shared" si="0"/>
        <v>400000</v>
      </c>
      <c r="F16" s="3">
        <f t="shared" ref="F16:F18" si="6">F15+E16</f>
        <v>1200000</v>
      </c>
      <c r="G16" s="13">
        <f>$C$4-F16</f>
        <v>1000000</v>
      </c>
      <c r="H16" s="3"/>
      <c r="I16" s="3">
        <f t="shared" si="2"/>
        <v>84000</v>
      </c>
      <c r="J16" s="3"/>
      <c r="K16" s="3">
        <f t="shared" ref="K16:K18" si="7">N15</f>
        <v>792000</v>
      </c>
      <c r="L16" s="3">
        <f t="shared" si="3"/>
        <v>316800</v>
      </c>
      <c r="M16" s="3">
        <f t="shared" ref="M16:M18" si="8">M15+L16</f>
        <v>1724800</v>
      </c>
      <c r="N16" s="3">
        <f t="shared" ref="N16:N18" si="9">$C$4-M16</f>
        <v>475200</v>
      </c>
      <c r="P16" s="3">
        <f t="shared" si="4"/>
        <v>66528</v>
      </c>
    </row>
    <row r="17" spans="2:16" x14ac:dyDescent="0.45">
      <c r="B17" s="1">
        <v>2020</v>
      </c>
      <c r="D17" s="3">
        <f t="shared" si="5"/>
        <v>1000000</v>
      </c>
      <c r="E17" s="3">
        <f t="shared" si="0"/>
        <v>400000</v>
      </c>
      <c r="F17" s="3">
        <f t="shared" si="6"/>
        <v>1600000</v>
      </c>
      <c r="G17" s="3">
        <f t="shared" si="1"/>
        <v>600000</v>
      </c>
      <c r="H17" s="3"/>
      <c r="I17" s="3">
        <f t="shared" si="2"/>
        <v>84000</v>
      </c>
      <c r="J17" s="3"/>
      <c r="K17" s="3">
        <f t="shared" si="7"/>
        <v>475200</v>
      </c>
      <c r="L17" s="3">
        <f t="shared" si="3"/>
        <v>190080</v>
      </c>
      <c r="M17" s="3">
        <f t="shared" si="8"/>
        <v>1914880</v>
      </c>
      <c r="N17" s="3">
        <f t="shared" si="9"/>
        <v>285120</v>
      </c>
      <c r="P17" s="3">
        <f t="shared" si="4"/>
        <v>39916.799999999996</v>
      </c>
    </row>
    <row r="18" spans="2:16" x14ac:dyDescent="0.45">
      <c r="B18" s="14">
        <v>2021</v>
      </c>
      <c r="C18" s="14"/>
      <c r="D18" s="15">
        <f t="shared" si="5"/>
        <v>600000</v>
      </c>
      <c r="E18" s="15">
        <f t="shared" si="0"/>
        <v>400000</v>
      </c>
      <c r="F18" s="15">
        <f t="shared" si="6"/>
        <v>2000000</v>
      </c>
      <c r="G18" s="15">
        <f t="shared" si="1"/>
        <v>200000</v>
      </c>
      <c r="H18" s="15"/>
      <c r="I18" s="15">
        <f t="shared" si="2"/>
        <v>84000</v>
      </c>
      <c r="J18" s="3"/>
      <c r="K18" s="15">
        <f t="shared" si="7"/>
        <v>285120</v>
      </c>
      <c r="L18" s="15">
        <f>(C4-C5)-M17</f>
        <v>85120</v>
      </c>
      <c r="M18" s="15">
        <f t="shared" si="8"/>
        <v>2000000</v>
      </c>
      <c r="N18" s="15">
        <f t="shared" si="9"/>
        <v>200000</v>
      </c>
      <c r="O18" s="12"/>
      <c r="P18" s="15">
        <f t="shared" si="4"/>
        <v>17875.2</v>
      </c>
    </row>
    <row r="19" spans="2:16" x14ac:dyDescent="0.45">
      <c r="B19" s="1" t="s">
        <v>21</v>
      </c>
      <c r="E19" s="3">
        <f>SUM(E14:E18)</f>
        <v>2000000</v>
      </c>
      <c r="I19" s="3">
        <f t="shared" si="2"/>
        <v>420000</v>
      </c>
      <c r="L19" s="3">
        <f>SUM(L14:L18)</f>
        <v>2000000</v>
      </c>
      <c r="P19" s="3">
        <f>SUM(P14:P18)</f>
        <v>420000</v>
      </c>
    </row>
    <row r="21" spans="2:16" x14ac:dyDescent="0.45">
      <c r="B21" s="1" t="s">
        <v>11</v>
      </c>
      <c r="C21" s="16">
        <v>1200000</v>
      </c>
      <c r="K21" s="16">
        <v>1200000</v>
      </c>
    </row>
    <row r="22" spans="2:16" x14ac:dyDescent="0.45">
      <c r="B22" s="1" t="s">
        <v>0</v>
      </c>
      <c r="C22" s="17">
        <v>0.21</v>
      </c>
      <c r="K22" s="17">
        <v>0.21</v>
      </c>
    </row>
    <row r="23" spans="2:16" x14ac:dyDescent="0.45">
      <c r="K23" s="1"/>
    </row>
    <row r="24" spans="2:16" x14ac:dyDescent="0.45">
      <c r="B24" s="1" t="s">
        <v>14</v>
      </c>
      <c r="C24" s="16">
        <f>C21-G16</f>
        <v>200000</v>
      </c>
      <c r="K24" s="16">
        <f>K21-N16</f>
        <v>724800</v>
      </c>
    </row>
    <row r="25" spans="2:16" x14ac:dyDescent="0.45">
      <c r="B25" s="1" t="s">
        <v>13</v>
      </c>
      <c r="C25" s="16">
        <f>-C22*C24</f>
        <v>-42000</v>
      </c>
      <c r="K25" s="16">
        <f>-K22*K24</f>
        <v>-152208</v>
      </c>
    </row>
    <row r="26" spans="2:16" x14ac:dyDescent="0.45">
      <c r="B26" s="1" t="s">
        <v>12</v>
      </c>
      <c r="C26" s="16">
        <f>C21+C25</f>
        <v>1158000</v>
      </c>
      <c r="K26" s="16">
        <f>K21+K25</f>
        <v>1047792</v>
      </c>
    </row>
    <row r="28" spans="2:16" x14ac:dyDescent="0.45">
      <c r="B28" s="1" t="s">
        <v>22</v>
      </c>
      <c r="C28" s="3">
        <f>C26+SUM(I14:I16)</f>
        <v>1410000</v>
      </c>
      <c r="K28" s="3">
        <f>K26+SUM(P14:P16)</f>
        <v>1410000</v>
      </c>
    </row>
  </sheetData>
  <mergeCells count="2">
    <mergeCell ref="D12:G12"/>
    <mergeCell ref="K12:N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0"/>
  <sheetViews>
    <sheetView workbookViewId="0"/>
  </sheetViews>
  <sheetFormatPr defaultColWidth="8.83984375" defaultRowHeight="13.8" x14ac:dyDescent="0.45"/>
  <cols>
    <col min="1" max="1" width="3.41796875" style="1" customWidth="1"/>
    <col min="2" max="2" width="28" style="1" customWidth="1"/>
    <col min="3" max="3" width="12.15625" style="1" customWidth="1"/>
    <col min="4" max="4" width="12.68359375" style="2" customWidth="1"/>
    <col min="5" max="5" width="13.41796875" style="2" customWidth="1"/>
    <col min="6" max="6" width="13.68359375" style="2" customWidth="1"/>
    <col min="7" max="7" width="12.68359375" style="2" customWidth="1"/>
    <col min="8" max="8" width="8.15625" style="2" customWidth="1"/>
    <col min="9" max="9" width="12.68359375" style="2" customWidth="1"/>
    <col min="10" max="10" width="13.68359375" style="2" customWidth="1"/>
    <col min="11" max="11" width="13.83984375" style="2" customWidth="1"/>
    <col min="12" max="12" width="12.68359375" style="2" customWidth="1"/>
    <col min="13" max="13" width="12.68359375" style="1" customWidth="1"/>
    <col min="14" max="16384" width="8.83984375" style="1"/>
  </cols>
  <sheetData>
    <row r="2" spans="2:12" ht="14.1" x14ac:dyDescent="0.5">
      <c r="B2" s="18" t="s">
        <v>18</v>
      </c>
    </row>
    <row r="4" spans="2:12" x14ac:dyDescent="0.45">
      <c r="B4" s="1" t="s">
        <v>1</v>
      </c>
      <c r="C4" s="3">
        <v>2200000</v>
      </c>
    </row>
    <row r="5" spans="2:12" x14ac:dyDescent="0.45">
      <c r="B5" s="1" t="s">
        <v>3</v>
      </c>
      <c r="C5" s="3">
        <v>200000</v>
      </c>
    </row>
    <row r="6" spans="2:12" x14ac:dyDescent="0.45">
      <c r="B6" s="1" t="s">
        <v>2</v>
      </c>
      <c r="C6" s="1">
        <v>8</v>
      </c>
    </row>
    <row r="8" spans="2:12" ht="14.1" x14ac:dyDescent="0.5">
      <c r="B8" s="4" t="s">
        <v>15</v>
      </c>
      <c r="C8" s="4"/>
    </row>
    <row r="9" spans="2:12" x14ac:dyDescent="0.45">
      <c r="B9" s="1" t="s">
        <v>4</v>
      </c>
      <c r="C9" s="3">
        <f>C4-C5</f>
        <v>2000000</v>
      </c>
    </row>
    <row r="10" spans="2:12" x14ac:dyDescent="0.45">
      <c r="C10" s="5"/>
    </row>
    <row r="12" spans="2:12" ht="14.1" x14ac:dyDescent="0.5">
      <c r="B12" s="4"/>
      <c r="C12" s="4"/>
      <c r="D12" s="21" t="s">
        <v>5</v>
      </c>
      <c r="E12" s="21"/>
      <c r="F12" s="21"/>
      <c r="G12" s="21"/>
      <c r="H12" s="7"/>
      <c r="I12" s="21" t="s">
        <v>10</v>
      </c>
      <c r="J12" s="21"/>
      <c r="K12" s="21"/>
      <c r="L12" s="21"/>
    </row>
    <row r="13" spans="2:12" ht="28.2" x14ac:dyDescent="0.5">
      <c r="B13" s="8" t="s">
        <v>9</v>
      </c>
      <c r="C13" s="9"/>
      <c r="D13" s="10" t="s">
        <v>7</v>
      </c>
      <c r="E13" s="10" t="s">
        <v>16</v>
      </c>
      <c r="F13" s="10" t="s">
        <v>6</v>
      </c>
      <c r="G13" s="10" t="s">
        <v>8</v>
      </c>
      <c r="H13" s="11"/>
      <c r="I13" s="10" t="s">
        <v>7</v>
      </c>
      <c r="J13" s="10" t="s">
        <v>16</v>
      </c>
      <c r="K13" s="10" t="s">
        <v>6</v>
      </c>
      <c r="L13" s="10" t="s">
        <v>8</v>
      </c>
    </row>
    <row r="14" spans="2:12" x14ac:dyDescent="0.45">
      <c r="B14" s="1">
        <v>2017</v>
      </c>
      <c r="D14" s="3">
        <f>C4</f>
        <v>2200000</v>
      </c>
      <c r="E14" s="3">
        <f>$C$9/$C$6</f>
        <v>250000</v>
      </c>
      <c r="F14" s="3">
        <f>E14</f>
        <v>250000</v>
      </c>
      <c r="G14" s="3">
        <f>$C$4-F14</f>
        <v>1950000</v>
      </c>
      <c r="H14" s="3"/>
      <c r="I14" s="3">
        <f>C4</f>
        <v>2200000</v>
      </c>
      <c r="J14" s="3">
        <f>I14*2/$C$6</f>
        <v>550000</v>
      </c>
      <c r="K14" s="3">
        <f>J14</f>
        <v>550000</v>
      </c>
      <c r="L14" s="3">
        <f>$C$4-K14</f>
        <v>1650000</v>
      </c>
    </row>
    <row r="15" spans="2:12" x14ac:dyDescent="0.45">
      <c r="B15" s="1">
        <v>2018</v>
      </c>
      <c r="D15" s="3">
        <f>G14</f>
        <v>1950000</v>
      </c>
      <c r="E15" s="3">
        <f t="shared" ref="E15:E21" si="0">$C$9/$C$6</f>
        <v>250000</v>
      </c>
      <c r="F15" s="3">
        <f>F14+E15</f>
        <v>500000</v>
      </c>
      <c r="G15" s="3">
        <f t="shared" ref="G15:G18" si="1">$C$4-F15</f>
        <v>1700000</v>
      </c>
      <c r="H15" s="3"/>
      <c r="I15" s="3">
        <f>L14</f>
        <v>1650000</v>
      </c>
      <c r="J15" s="3">
        <f t="shared" ref="J15:J17" si="2">I15*2/$C$6</f>
        <v>412500</v>
      </c>
      <c r="K15" s="3">
        <f>K14+J15</f>
        <v>962500</v>
      </c>
      <c r="L15" s="3">
        <f>$C$4-K15</f>
        <v>1237500</v>
      </c>
    </row>
    <row r="16" spans="2:12" x14ac:dyDescent="0.45">
      <c r="B16" s="1">
        <v>2019</v>
      </c>
      <c r="D16" s="3">
        <f t="shared" ref="D16:D18" si="3">G15</f>
        <v>1700000</v>
      </c>
      <c r="E16" s="3">
        <f t="shared" si="0"/>
        <v>250000</v>
      </c>
      <c r="F16" s="3">
        <f t="shared" ref="F16:F18" si="4">F15+E16</f>
        <v>750000</v>
      </c>
      <c r="G16" s="13">
        <f>$C$4-F16</f>
        <v>1450000</v>
      </c>
      <c r="H16" s="3"/>
      <c r="I16" s="3">
        <f t="shared" ref="I16:I17" si="5">L15</f>
        <v>1237500</v>
      </c>
      <c r="J16" s="3">
        <f t="shared" si="2"/>
        <v>309375</v>
      </c>
      <c r="K16" s="3">
        <f t="shared" ref="K16:K17" si="6">K15+J16</f>
        <v>1271875</v>
      </c>
      <c r="L16" s="3">
        <f t="shared" ref="L16:L17" si="7">$C$4-K16</f>
        <v>928125</v>
      </c>
    </row>
    <row r="17" spans="2:12" x14ac:dyDescent="0.45">
      <c r="B17" s="1">
        <v>2020</v>
      </c>
      <c r="D17" s="3">
        <f t="shared" si="3"/>
        <v>1450000</v>
      </c>
      <c r="E17" s="3">
        <f t="shared" si="0"/>
        <v>250000</v>
      </c>
      <c r="F17" s="3">
        <f t="shared" si="4"/>
        <v>1000000</v>
      </c>
      <c r="G17" s="3">
        <f t="shared" si="1"/>
        <v>1200000</v>
      </c>
      <c r="H17" s="3"/>
      <c r="I17" s="3">
        <f t="shared" si="5"/>
        <v>928125</v>
      </c>
      <c r="J17" s="3">
        <f t="shared" si="2"/>
        <v>232031.25</v>
      </c>
      <c r="K17" s="3">
        <f t="shared" si="6"/>
        <v>1503906.25</v>
      </c>
      <c r="L17" s="3">
        <f t="shared" si="7"/>
        <v>696093.75</v>
      </c>
    </row>
    <row r="18" spans="2:12" s="2" customFormat="1" x14ac:dyDescent="0.45">
      <c r="B18" s="1">
        <v>2021</v>
      </c>
      <c r="C18" s="1"/>
      <c r="D18" s="3">
        <f t="shared" si="3"/>
        <v>1200000</v>
      </c>
      <c r="E18" s="3">
        <f t="shared" si="0"/>
        <v>250000</v>
      </c>
      <c r="F18" s="3">
        <f t="shared" si="4"/>
        <v>1250000</v>
      </c>
      <c r="G18" s="3">
        <f t="shared" si="1"/>
        <v>950000</v>
      </c>
      <c r="H18" s="3"/>
      <c r="I18" s="3">
        <f t="shared" ref="I18:I21" si="8">L17</f>
        <v>696093.75</v>
      </c>
      <c r="J18" s="3">
        <f t="shared" ref="J18:J20" si="9">I18*2/$C$6</f>
        <v>174023.4375</v>
      </c>
      <c r="K18" s="3">
        <f t="shared" ref="K18:K21" si="10">K17+J18</f>
        <v>1677929.6875</v>
      </c>
      <c r="L18" s="3">
        <f t="shared" ref="L18:L20" si="11">$C$4-K18</f>
        <v>522070.3125</v>
      </c>
    </row>
    <row r="19" spans="2:12" s="2" customFormat="1" x14ac:dyDescent="0.45">
      <c r="B19" s="1">
        <v>2022</v>
      </c>
      <c r="C19" s="1"/>
      <c r="D19" s="3">
        <f t="shared" ref="D19:D21" si="12">G18</f>
        <v>950000</v>
      </c>
      <c r="E19" s="3">
        <f t="shared" si="0"/>
        <v>250000</v>
      </c>
      <c r="F19" s="3">
        <f t="shared" ref="F19:F21" si="13">F18+E19</f>
        <v>1500000</v>
      </c>
      <c r="G19" s="3">
        <f t="shared" ref="G19:G21" si="14">$C$4-F19</f>
        <v>700000</v>
      </c>
      <c r="H19" s="3"/>
      <c r="I19" s="3">
        <f t="shared" si="8"/>
        <v>522070.3125</v>
      </c>
      <c r="J19" s="3">
        <f t="shared" si="9"/>
        <v>130517.578125</v>
      </c>
      <c r="K19" s="3">
        <f t="shared" si="10"/>
        <v>1808447.265625</v>
      </c>
      <c r="L19" s="3">
        <f t="shared" si="11"/>
        <v>391552.734375</v>
      </c>
    </row>
    <row r="20" spans="2:12" s="2" customFormat="1" x14ac:dyDescent="0.45">
      <c r="B20" s="1">
        <v>2023</v>
      </c>
      <c r="C20" s="1"/>
      <c r="D20" s="3">
        <f t="shared" si="12"/>
        <v>700000</v>
      </c>
      <c r="E20" s="3">
        <f t="shared" si="0"/>
        <v>250000</v>
      </c>
      <c r="F20" s="3">
        <f t="shared" si="13"/>
        <v>1750000</v>
      </c>
      <c r="G20" s="3">
        <f t="shared" si="14"/>
        <v>450000</v>
      </c>
      <c r="H20" s="3"/>
      <c r="I20" s="3">
        <f t="shared" si="8"/>
        <v>391552.734375</v>
      </c>
      <c r="J20" s="3">
        <f t="shared" si="9"/>
        <v>97888.18359375</v>
      </c>
      <c r="K20" s="3">
        <f t="shared" si="10"/>
        <v>1906335.44921875</v>
      </c>
      <c r="L20" s="3">
        <f t="shared" si="11"/>
        <v>293664.55078125</v>
      </c>
    </row>
    <row r="21" spans="2:12" x14ac:dyDescent="0.45">
      <c r="B21" s="1">
        <v>2024</v>
      </c>
      <c r="D21" s="3">
        <f t="shared" si="12"/>
        <v>450000</v>
      </c>
      <c r="E21" s="3">
        <f t="shared" si="0"/>
        <v>250000</v>
      </c>
      <c r="F21" s="3">
        <f t="shared" si="13"/>
        <v>2000000</v>
      </c>
      <c r="G21" s="3">
        <f t="shared" si="14"/>
        <v>200000</v>
      </c>
      <c r="I21" s="3">
        <f t="shared" si="8"/>
        <v>293664.55078125</v>
      </c>
      <c r="J21" s="3">
        <f>I21-C5</f>
        <v>93664.55078125</v>
      </c>
      <c r="K21" s="3">
        <f t="shared" si="10"/>
        <v>2000000</v>
      </c>
      <c r="L21" s="3">
        <f>$C$4-K21</f>
        <v>200000</v>
      </c>
    </row>
    <row r="22" spans="2:12" ht="14.1" thickBot="1" x14ac:dyDescent="0.5"/>
    <row r="23" spans="2:12" ht="14.4" thickBot="1" x14ac:dyDescent="0.55000000000000004">
      <c r="B23" s="19" t="s">
        <v>17</v>
      </c>
      <c r="C23" s="20">
        <f>'Depreciation example - 5y'!E14-'Depreciation example - 8y'!E14</f>
        <v>150000</v>
      </c>
    </row>
    <row r="25" spans="2:12" s="2" customFormat="1" x14ac:dyDescent="0.45">
      <c r="B25" s="1" t="s">
        <v>11</v>
      </c>
      <c r="C25" s="16">
        <v>1200000</v>
      </c>
    </row>
    <row r="26" spans="2:12" s="2" customFormat="1" x14ac:dyDescent="0.45">
      <c r="B26" s="1" t="s">
        <v>0</v>
      </c>
      <c r="C26" s="17">
        <v>0.21</v>
      </c>
    </row>
    <row r="28" spans="2:12" s="2" customFormat="1" x14ac:dyDescent="0.45">
      <c r="B28" s="1" t="s">
        <v>14</v>
      </c>
      <c r="C28" s="16">
        <f>C25-G16</f>
        <v>-250000</v>
      </c>
    </row>
    <row r="29" spans="2:12" s="2" customFormat="1" x14ac:dyDescent="0.45">
      <c r="B29" s="1" t="s">
        <v>13</v>
      </c>
      <c r="C29" s="16">
        <f>-C26*C28</f>
        <v>52500</v>
      </c>
    </row>
    <row r="30" spans="2:12" s="2" customFormat="1" x14ac:dyDescent="0.45">
      <c r="B30" s="1" t="s">
        <v>12</v>
      </c>
      <c r="C30" s="16">
        <f>C25+C29</f>
        <v>1252500</v>
      </c>
    </row>
  </sheetData>
  <mergeCells count="2">
    <mergeCell ref="D12:G12"/>
    <mergeCell ref="I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Depreciation example - 5y</vt:lpstr>
      <vt:lpstr>Depreciation example - 8y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2025-06-14T01:18:59Z</dcterms:modified>
</cp:coreProperties>
</file>