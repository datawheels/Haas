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S Berkeley - 2026/EMBA 202 - 2028/Block 3/"/>
    </mc:Choice>
  </mc:AlternateContent>
  <xr:revisionPtr revIDLastSave="5" documentId="11_C74B351DF7216FD75A405EB727B306FD4965ABB4" xr6:coauthVersionLast="47" xr6:coauthVersionMax="47" xr10:uidLastSave="{09FB5786-D603-4F58-A9B1-12AC847CE265}"/>
  <bookViews>
    <workbookView xWindow="-96" yWindow="-96" windowWidth="23232" windowHeight="13872" xr2:uid="{00000000-000D-0000-FFFF-FFFF00000000}"/>
  </bookViews>
  <sheets>
    <sheet name="Balance sheet" sheetId="1" r:id="rId1"/>
    <sheet name="Income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C54" i="1"/>
  <c r="D53" i="1"/>
  <c r="C53" i="1"/>
  <c r="D51" i="1"/>
  <c r="C51" i="1"/>
  <c r="D50" i="1"/>
  <c r="C50" i="1"/>
  <c r="D49" i="1"/>
  <c r="C49" i="1"/>
</calcChain>
</file>

<file path=xl/sharedStrings.xml><?xml version="1.0" encoding="utf-8"?>
<sst xmlns="http://schemas.openxmlformats.org/spreadsheetml/2006/main" count="77" uniqueCount="76">
  <si>
    <t>Boeing Balance Sheet (in millions)</t>
  </si>
  <si>
    <t>Cash and cash equivalents</t>
  </si>
  <si>
    <t>Short-term and other investments</t>
  </si>
  <si>
    <t>Accounts receivable, net</t>
  </si>
  <si>
    <t>Unbilled receivables, net</t>
  </si>
  <si>
    <t>Current portion of financing receivables, net</t>
  </si>
  <si>
    <t>Inventories</t>
  </si>
  <si>
    <t>Other current assets, net</t>
  </si>
  <si>
    <t>Total current assets</t>
  </si>
  <si>
    <t>Financing receivables &amp; operating lease equipment, net</t>
  </si>
  <si>
    <t>Property, plant &amp; equipment, net</t>
  </si>
  <si>
    <t>Goodwill</t>
  </si>
  <si>
    <t>Acquired intangible assets, net</t>
  </si>
  <si>
    <t>Deferred income taxes</t>
  </si>
  <si>
    <t>Investments</t>
  </si>
  <si>
    <t>Other assets, net</t>
  </si>
  <si>
    <t>Total assets</t>
  </si>
  <si>
    <t>Liabilities and Equity</t>
  </si>
  <si>
    <t>Accounts payable</t>
  </si>
  <si>
    <t>Accrued liabilities</t>
  </si>
  <si>
    <t>Advances and progress billings</t>
  </si>
  <si>
    <t>Short-term debt &amp; current portion of long-term debt</t>
  </si>
  <si>
    <t>Total current liabilities</t>
  </si>
  <si>
    <t>Accrued retiree health care</t>
  </si>
  <si>
    <t>Accrued pension plan liability, net</t>
  </si>
  <si>
    <t>Other long-term liabilities</t>
  </si>
  <si>
    <t>Long-term debt</t>
  </si>
  <si>
    <t>Total liabilities</t>
  </si>
  <si>
    <t>Shareholders' Equity</t>
  </si>
  <si>
    <t>Mandatory convertible preferred stock</t>
  </si>
  <si>
    <t>Common stock</t>
  </si>
  <si>
    <t>Additional paid-in capital</t>
  </si>
  <si>
    <t>Treasury stock, at cost</t>
  </si>
  <si>
    <t>Retained earnings</t>
  </si>
  <si>
    <t>Accumulated other comprehensive loss</t>
  </si>
  <si>
    <t>Total shareholders' equity/(deficit)</t>
  </si>
  <si>
    <t>Noncontrolling interests</t>
  </si>
  <si>
    <t>Total equity</t>
  </si>
  <si>
    <t>Total liabilities and equity</t>
  </si>
  <si>
    <t>Equity market value (approximate)</t>
  </si>
  <si>
    <t>Approximate: Dec 2024 ≈ $177 x ~750M shares; Dec 2025 ≈ $217 x ~785M shares</t>
  </si>
  <si>
    <t xml:space="preserve">Leverage metrics: </t>
  </si>
  <si>
    <t>Debt to assets</t>
  </si>
  <si>
    <t>Reasonable and slightly lower than in 2024, particularly given the type of assets (inventory and property)</t>
  </si>
  <si>
    <t>Debt to equity (book value)</t>
  </si>
  <si>
    <t>2024: not meaningful because the BV of equity is negative. 2025: equity turned positive (gain on the Jeppesen sale and shares issued for the Spirit AeroSystems acquisition), but it is so small that D/E of ~10x shows Boeing is still very highly levered on a book basis</t>
  </si>
  <si>
    <t>Debt to equity (market value)</t>
  </si>
  <si>
    <t>Reasonable</t>
  </si>
  <si>
    <t>Interest coverage</t>
  </si>
  <si>
    <t>2024: negative - earnings do not cover interest, Boeing has to borrow just to pay it. 2025: positive (~1.5x) only because of the one-time $9.7B gain on the sale of Jeppesen/digital aviation businesses</t>
  </si>
  <si>
    <t>Interest coverage excl. gain on dispositions</t>
  </si>
  <si>
    <t>Without the one-time gain, operations lost ~$5.4B in 2025, so the underlying coverage is still negative</t>
  </si>
  <si>
    <t>Boeing Income Statement (in millions)</t>
  </si>
  <si>
    <t>Sales of products</t>
  </si>
  <si>
    <t>Sales of services</t>
  </si>
  <si>
    <t>Total revenues</t>
  </si>
  <si>
    <t>Cost of products</t>
  </si>
  <si>
    <t>Cost of services</t>
  </si>
  <si>
    <t>Total costs and expenses</t>
  </si>
  <si>
    <t>Income/(loss) from operating investments, net</t>
  </si>
  <si>
    <t>General and administrative expense</t>
  </si>
  <si>
    <t>Research and development expense, net</t>
  </si>
  <si>
    <t>Gain on dispositions, net</t>
  </si>
  <si>
    <t>Earnings/(loss) from operations</t>
  </si>
  <si>
    <t>Other income, net</t>
  </si>
  <si>
    <t>Interest and debt expense</t>
  </si>
  <si>
    <t>Earnings/(loss) before income taxes</t>
  </si>
  <si>
    <t>Income tax benefit/(expense)</t>
  </si>
  <si>
    <t>Net earnings/(loss)</t>
  </si>
  <si>
    <t>Less: Net earnings/(loss) attributable to noncontrolling interest</t>
  </si>
  <si>
    <t>Net earnings/(loss) attributable to Boeing shareholders</t>
  </si>
  <si>
    <t>Less: Mandatory convertible preferred stock dividends</t>
  </si>
  <si>
    <t>-</t>
  </si>
  <si>
    <t>Net earnings/(loss) attributable to Boeing common shareholders</t>
  </si>
  <si>
    <t>Basic earnings/(loss) per share</t>
  </si>
  <si>
    <t>Diluted earnings/(loss)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</si>
</sst>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x&quot;"/>
  </numFmts>
  <fonts count="4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top"/>
    </xf>
    <xf numFmtId="4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top"/>
    </xf>
    <xf numFmtId="9" fontId="2" fillId="0" borderId="0" xfId="1" applyFont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78"/>
  <sheetViews>
    <sheetView tabSelected="1" workbookViewId="0">
      <selection activeCell="D9" sqref="D9"/>
    </sheetView>
  </sheetViews>
  <sheetFormatPr defaultRowHeight="12.3" x14ac:dyDescent="0.45"/>
  <cols>
    <col min="1" max="1" width="4.52734375" style="1" customWidth="1"/>
    <col min="2" max="2" width="56.41015625" style="1" customWidth="1"/>
    <col min="3" max="4" width="10.64453125" style="6" customWidth="1"/>
    <col min="5" max="5" width="4.17578125" style="1" customWidth="1"/>
    <col min="6" max="6" width="8.9375" style="1" customWidth="1"/>
    <col min="7" max="16384" width="8.9375" style="1"/>
  </cols>
  <sheetData>
    <row r="1" spans="2:4" ht="16" customHeight="1" x14ac:dyDescent="0.45"/>
    <row r="2" spans="2:4" ht="16" customHeight="1" x14ac:dyDescent="0.45">
      <c r="B2" s="13" t="s">
        <v>0</v>
      </c>
    </row>
    <row r="3" spans="2:4" ht="16" customHeight="1" x14ac:dyDescent="0.45">
      <c r="B3" s="2"/>
      <c r="C3" s="7">
        <v>2024</v>
      </c>
      <c r="D3" s="7">
        <v>2025</v>
      </c>
    </row>
    <row r="4" spans="2:4" ht="16" customHeight="1" x14ac:dyDescent="0.45">
      <c r="B4" s="3" t="s">
        <v>1</v>
      </c>
      <c r="C4" s="8">
        <v>13801</v>
      </c>
      <c r="D4" s="8">
        <v>10921</v>
      </c>
    </row>
    <row r="5" spans="2:4" ht="16" customHeight="1" x14ac:dyDescent="0.45">
      <c r="B5" s="3" t="s">
        <v>2</v>
      </c>
      <c r="C5" s="8">
        <v>12481</v>
      </c>
      <c r="D5" s="8">
        <v>18479</v>
      </c>
    </row>
    <row r="6" spans="2:4" ht="16" customHeight="1" x14ac:dyDescent="0.45">
      <c r="B6" s="3" t="s">
        <v>3</v>
      </c>
      <c r="C6" s="8">
        <v>2631</v>
      </c>
      <c r="D6" s="8">
        <v>2921</v>
      </c>
    </row>
    <row r="7" spans="2:4" ht="16" customHeight="1" x14ac:dyDescent="0.45">
      <c r="B7" s="3" t="s">
        <v>4</v>
      </c>
      <c r="C7" s="8">
        <v>8363</v>
      </c>
      <c r="D7" s="8">
        <v>9158</v>
      </c>
    </row>
    <row r="8" spans="2:4" ht="16" customHeight="1" x14ac:dyDescent="0.45">
      <c r="B8" s="3" t="s">
        <v>5</v>
      </c>
      <c r="C8" s="10">
        <v>207</v>
      </c>
      <c r="D8" s="10">
        <v>0</v>
      </c>
    </row>
    <row r="9" spans="2:4" ht="16" customHeight="1" x14ac:dyDescent="0.45">
      <c r="B9" s="3" t="s">
        <v>6</v>
      </c>
      <c r="C9" s="8">
        <v>87550</v>
      </c>
      <c r="D9" s="8">
        <v>84679</v>
      </c>
    </row>
    <row r="10" spans="2:4" ht="16" customHeight="1" x14ac:dyDescent="0.45">
      <c r="B10" s="3" t="s">
        <v>7</v>
      </c>
      <c r="C10" s="8">
        <v>2965</v>
      </c>
      <c r="D10" s="8">
        <v>2301</v>
      </c>
    </row>
    <row r="11" spans="2:4" ht="16" customHeight="1" x14ac:dyDescent="0.45">
      <c r="B11" s="4" t="s">
        <v>8</v>
      </c>
      <c r="C11" s="9">
        <v>127998</v>
      </c>
      <c r="D11" s="9">
        <v>128459</v>
      </c>
    </row>
    <row r="12" spans="2:4" ht="16" customHeight="1" x14ac:dyDescent="0.45">
      <c r="B12" s="3" t="s">
        <v>9</v>
      </c>
      <c r="C12" s="10">
        <v>314</v>
      </c>
      <c r="D12" s="10">
        <v>241</v>
      </c>
    </row>
    <row r="13" spans="2:4" ht="16" customHeight="1" x14ac:dyDescent="0.45">
      <c r="B13" s="3" t="s">
        <v>10</v>
      </c>
      <c r="C13" s="8">
        <v>11412</v>
      </c>
      <c r="D13" s="8">
        <v>15361</v>
      </c>
    </row>
    <row r="14" spans="2:4" ht="16" customHeight="1" x14ac:dyDescent="0.45">
      <c r="B14" s="3" t="s">
        <v>11</v>
      </c>
      <c r="C14" s="8">
        <v>8084</v>
      </c>
      <c r="D14" s="8">
        <v>17275</v>
      </c>
    </row>
    <row r="15" spans="2:4" ht="16" customHeight="1" x14ac:dyDescent="0.45">
      <c r="B15" s="3" t="s">
        <v>12</v>
      </c>
      <c r="C15" s="8">
        <v>1957</v>
      </c>
      <c r="D15" s="8">
        <v>1567</v>
      </c>
    </row>
    <row r="16" spans="2:4" ht="16" customHeight="1" x14ac:dyDescent="0.45">
      <c r="B16" s="3" t="s">
        <v>13</v>
      </c>
      <c r="C16" s="10">
        <v>185</v>
      </c>
      <c r="D16" s="10">
        <v>107</v>
      </c>
    </row>
    <row r="17" spans="2:4" ht="16" customHeight="1" x14ac:dyDescent="0.45">
      <c r="B17" s="3" t="s">
        <v>14</v>
      </c>
      <c r="C17" s="8">
        <v>999</v>
      </c>
      <c r="D17" s="10">
        <v>1048</v>
      </c>
    </row>
    <row r="18" spans="2:4" ht="16" customHeight="1" x14ac:dyDescent="0.45">
      <c r="B18" s="3" t="s">
        <v>15</v>
      </c>
      <c r="C18" s="8">
        <v>5414</v>
      </c>
      <c r="D18" s="8">
        <v>4177</v>
      </c>
    </row>
    <row r="19" spans="2:4" ht="16" customHeight="1" x14ac:dyDescent="0.45">
      <c r="B19" s="4" t="s">
        <v>16</v>
      </c>
      <c r="C19" s="9">
        <v>156363</v>
      </c>
      <c r="D19" s="9">
        <v>168235</v>
      </c>
    </row>
    <row r="20" spans="2:4" ht="16" customHeight="1" x14ac:dyDescent="0.45"/>
    <row r="21" spans="2:4" ht="16" customHeight="1" x14ac:dyDescent="0.45">
      <c r="B21" s="5" t="s">
        <v>17</v>
      </c>
    </row>
    <row r="22" spans="2:4" ht="16" customHeight="1" x14ac:dyDescent="0.45">
      <c r="B22" s="3" t="s">
        <v>18</v>
      </c>
      <c r="C22" s="8">
        <v>11364</v>
      </c>
      <c r="D22" s="8">
        <v>13109</v>
      </c>
    </row>
    <row r="23" spans="2:4" ht="16" customHeight="1" x14ac:dyDescent="0.45">
      <c r="B23" s="3" t="s">
        <v>19</v>
      </c>
      <c r="C23" s="8">
        <v>24103</v>
      </c>
      <c r="D23" s="8">
        <v>27141</v>
      </c>
    </row>
    <row r="24" spans="2:4" ht="16" customHeight="1" x14ac:dyDescent="0.45">
      <c r="B24" s="3" t="s">
        <v>20</v>
      </c>
      <c r="C24" s="8">
        <v>60333</v>
      </c>
      <c r="D24" s="8">
        <v>59404</v>
      </c>
    </row>
    <row r="25" spans="2:4" ht="16" customHeight="1" x14ac:dyDescent="0.45">
      <c r="B25" s="3" t="s">
        <v>21</v>
      </c>
      <c r="C25" s="8">
        <v>1278</v>
      </c>
      <c r="D25" s="8">
        <v>8461</v>
      </c>
    </row>
    <row r="26" spans="2:4" ht="16" customHeight="1" x14ac:dyDescent="0.45">
      <c r="B26" s="4" t="s">
        <v>22</v>
      </c>
      <c r="C26" s="9">
        <v>97078</v>
      </c>
      <c r="D26" s="9">
        <v>108115</v>
      </c>
    </row>
    <row r="27" spans="2:4" ht="16" customHeight="1" x14ac:dyDescent="0.45">
      <c r="B27" s="3" t="s">
        <v>13</v>
      </c>
      <c r="C27" s="10">
        <v>122</v>
      </c>
      <c r="D27" s="10">
        <v>216</v>
      </c>
    </row>
    <row r="28" spans="2:4" ht="16" customHeight="1" x14ac:dyDescent="0.45">
      <c r="B28" s="3" t="s">
        <v>23</v>
      </c>
      <c r="C28" s="8">
        <v>2176</v>
      </c>
      <c r="D28" s="8">
        <v>2091</v>
      </c>
    </row>
    <row r="29" spans="2:4" ht="16" customHeight="1" x14ac:dyDescent="0.45">
      <c r="B29" s="3" t="s">
        <v>24</v>
      </c>
      <c r="C29" s="8">
        <v>5997</v>
      </c>
      <c r="D29" s="8">
        <v>4287</v>
      </c>
    </row>
    <row r="30" spans="2:4" ht="16" customHeight="1" x14ac:dyDescent="0.45">
      <c r="B30" s="3" t="s">
        <v>25</v>
      </c>
      <c r="C30" s="8">
        <v>2318</v>
      </c>
      <c r="D30" s="8">
        <v>2432</v>
      </c>
    </row>
    <row r="31" spans="2:4" ht="16" customHeight="1" x14ac:dyDescent="0.45">
      <c r="B31" s="3" t="s">
        <v>26</v>
      </c>
      <c r="C31" s="8">
        <v>52586</v>
      </c>
      <c r="D31" s="8">
        <v>45637</v>
      </c>
    </row>
    <row r="32" spans="2:4" ht="16" customHeight="1" x14ac:dyDescent="0.45">
      <c r="B32" s="4" t="s">
        <v>27</v>
      </c>
      <c r="C32" s="9">
        <v>160277</v>
      </c>
      <c r="D32" s="9">
        <v>162778</v>
      </c>
    </row>
    <row r="33" spans="2:18" ht="16" customHeight="1" x14ac:dyDescent="0.45"/>
    <row r="34" spans="2:18" ht="16" customHeight="1" x14ac:dyDescent="0.45">
      <c r="B34" s="5" t="s">
        <v>28</v>
      </c>
    </row>
    <row r="35" spans="2:18" ht="16" customHeight="1" x14ac:dyDescent="0.45">
      <c r="B35" s="3" t="s">
        <v>29</v>
      </c>
      <c r="C35" s="10">
        <v>6</v>
      </c>
      <c r="D35" s="10">
        <v>6</v>
      </c>
    </row>
    <row r="36" spans="2:18" ht="16" customHeight="1" x14ac:dyDescent="0.45">
      <c r="B36" s="3" t="s">
        <v>30</v>
      </c>
      <c r="C36" s="8">
        <v>5061</v>
      </c>
      <c r="D36" s="8">
        <v>5061</v>
      </c>
    </row>
    <row r="37" spans="2:18" ht="16" customHeight="1" x14ac:dyDescent="0.45">
      <c r="B37" s="3" t="s">
        <v>31</v>
      </c>
      <c r="C37" s="8">
        <v>18964</v>
      </c>
      <c r="D37" s="8">
        <v>21441</v>
      </c>
    </row>
    <row r="38" spans="2:18" ht="16" customHeight="1" x14ac:dyDescent="0.45">
      <c r="B38" s="3" t="s">
        <v>32</v>
      </c>
      <c r="C38" s="8">
        <v>-32386</v>
      </c>
      <c r="D38" s="8">
        <v>-28029</v>
      </c>
    </row>
    <row r="39" spans="2:18" ht="16" customHeight="1" x14ac:dyDescent="0.45">
      <c r="B39" s="3" t="s">
        <v>33</v>
      </c>
      <c r="C39" s="8">
        <v>15362</v>
      </c>
      <c r="D39" s="8">
        <v>17252</v>
      </c>
    </row>
    <row r="40" spans="2:18" ht="16" customHeight="1" x14ac:dyDescent="0.45">
      <c r="B40" s="3" t="s">
        <v>34</v>
      </c>
      <c r="C40" s="8">
        <v>-10915</v>
      </c>
      <c r="D40" s="8">
        <v>-10277</v>
      </c>
    </row>
    <row r="41" spans="2:18" ht="16" customHeight="1" x14ac:dyDescent="0.45">
      <c r="B41" s="4" t="s">
        <v>35</v>
      </c>
      <c r="C41" s="9">
        <v>-3908</v>
      </c>
      <c r="D41" s="9">
        <v>5454</v>
      </c>
    </row>
    <row r="42" spans="2:18" ht="16" customHeight="1" x14ac:dyDescent="0.45">
      <c r="B42" s="3" t="s">
        <v>36</v>
      </c>
      <c r="C42" s="10">
        <v>-6</v>
      </c>
      <c r="D42" s="10">
        <v>3</v>
      </c>
    </row>
    <row r="43" spans="2:18" ht="16" customHeight="1" x14ac:dyDescent="0.45">
      <c r="B43" s="4" t="s">
        <v>37</v>
      </c>
      <c r="C43" s="9">
        <v>-3914</v>
      </c>
      <c r="D43" s="9">
        <v>5457</v>
      </c>
    </row>
    <row r="44" spans="2:18" ht="16" customHeight="1" x14ac:dyDescent="0.45">
      <c r="B44" s="4" t="s">
        <v>38</v>
      </c>
      <c r="C44" s="9">
        <v>156363</v>
      </c>
      <c r="D44" s="9">
        <v>168235</v>
      </c>
    </row>
    <row r="45" spans="2:18" ht="16" customHeight="1" x14ac:dyDescent="0.45">
      <c r="B45" s="4"/>
      <c r="C45" s="9"/>
      <c r="D45" s="9"/>
    </row>
    <row r="46" spans="2:18" ht="16" customHeight="1" x14ac:dyDescent="0.45">
      <c r="B46" s="4" t="s">
        <v>39</v>
      </c>
      <c r="C46" s="9">
        <v>133000</v>
      </c>
      <c r="D46" s="9">
        <v>170000</v>
      </c>
      <c r="F46" s="1" t="s">
        <v>40</v>
      </c>
    </row>
    <row r="47" spans="2:18" ht="16" customHeight="1" x14ac:dyDescent="0.45">
      <c r="B47" s="4"/>
      <c r="C47" s="9"/>
      <c r="D47" s="9"/>
    </row>
    <row r="48" spans="2:18" ht="16" customHeight="1" x14ac:dyDescent="0.45">
      <c r="B48" s="15" t="s">
        <v>41</v>
      </c>
      <c r="C48" s="16"/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pans="2:6" ht="16" customHeight="1" x14ac:dyDescent="0.45">
      <c r="B49" s="1" t="s">
        <v>42</v>
      </c>
      <c r="C49" s="14">
        <f>(C25+C31)/C19</f>
        <v>0.34448047172285001</v>
      </c>
      <c r="D49" s="14">
        <f>(D25+D31)/D19</f>
        <v>0.32156210063304308</v>
      </c>
      <c r="F49" s="1" t="s">
        <v>43</v>
      </c>
    </row>
    <row r="50" spans="2:6" ht="16" customHeight="1" x14ac:dyDescent="0.45">
      <c r="B50" s="1" t="s">
        <v>44</v>
      </c>
      <c r="C50" s="14">
        <f>(C25+C31)/C43</f>
        <v>-13.761880429228411</v>
      </c>
      <c r="D50" s="14">
        <f>(D25+D31)/D43</f>
        <v>9.9135055891515478</v>
      </c>
      <c r="F50" s="1" t="s">
        <v>45</v>
      </c>
    </row>
    <row r="51" spans="2:6" ht="16" customHeight="1" x14ac:dyDescent="0.45">
      <c r="B51" s="1" t="s">
        <v>46</v>
      </c>
      <c r="C51" s="14">
        <f>(C25+C31)/C46</f>
        <v>0.40499248120300751</v>
      </c>
      <c r="D51" s="14">
        <f>(D25+D31)/D46</f>
        <v>0.31822352941176468</v>
      </c>
      <c r="F51" s="1" t="s">
        <v>47</v>
      </c>
    </row>
    <row r="52" spans="2:6" ht="16" customHeight="1" x14ac:dyDescent="0.45"/>
    <row r="53" spans="2:6" ht="16" customHeight="1" x14ac:dyDescent="0.45">
      <c r="B53" s="1" t="s">
        <v>48</v>
      </c>
      <c r="C53" s="20">
        <f>-'Income statement'!D15/'Income statement'!D17</f>
        <v>-3.9291743119266056</v>
      </c>
      <c r="D53" s="20">
        <f>-'Income statement'!E15/'Income statement'!E17</f>
        <v>1.5449296282930349</v>
      </c>
      <c r="F53" s="1" t="s">
        <v>49</v>
      </c>
    </row>
    <row r="54" spans="2:6" ht="16" customHeight="1" x14ac:dyDescent="0.4">
      <c r="B54" s="19" t="s">
        <v>50</v>
      </c>
      <c r="C54" s="20">
        <f>-('Income statement'!D15-'Income statement'!D14)/'Income statement'!D17</f>
        <v>-3.9460550458715598</v>
      </c>
      <c r="D54" s="20">
        <f>-('Income statement'!E15-'Income statement'!E14)/'Income statement'!E17</f>
        <v>-1.9455070371706964</v>
      </c>
      <c r="F54" s="1" t="s">
        <v>51</v>
      </c>
    </row>
    <row r="55" spans="2:6" ht="16" customHeight="1" x14ac:dyDescent="0.45"/>
    <row r="56" spans="2:6" ht="16" customHeight="1" x14ac:dyDescent="0.45"/>
    <row r="57" spans="2:6" ht="16" customHeight="1" x14ac:dyDescent="0.45"/>
    <row r="58" spans="2:6" ht="16" customHeight="1" x14ac:dyDescent="0.45"/>
    <row r="59" spans="2:6" ht="16" customHeight="1" x14ac:dyDescent="0.45"/>
    <row r="60" spans="2:6" ht="16" customHeight="1" x14ac:dyDescent="0.45"/>
    <row r="61" spans="2:6" ht="16" customHeight="1" x14ac:dyDescent="0.45"/>
    <row r="62" spans="2:6" ht="16" customHeight="1" x14ac:dyDescent="0.45"/>
    <row r="63" spans="2:6" ht="16" customHeight="1" x14ac:dyDescent="0.45"/>
    <row r="64" spans="2:6" ht="16" customHeight="1" x14ac:dyDescent="0.45"/>
    <row r="65" ht="16" customHeight="1" x14ac:dyDescent="0.45"/>
    <row r="66" ht="16" customHeight="1" x14ac:dyDescent="0.45"/>
    <row r="67" ht="16" customHeight="1" x14ac:dyDescent="0.45"/>
    <row r="68" ht="16" customHeight="1" x14ac:dyDescent="0.45"/>
    <row r="69" ht="16" customHeight="1" x14ac:dyDescent="0.45"/>
    <row r="70" ht="16" customHeight="1" x14ac:dyDescent="0.45"/>
    <row r="71" ht="16" customHeight="1" x14ac:dyDescent="0.45"/>
    <row r="72" ht="16" customHeight="1" x14ac:dyDescent="0.45"/>
    <row r="73" ht="16" customHeight="1" x14ac:dyDescent="0.45"/>
    <row r="74" ht="16" customHeight="1" x14ac:dyDescent="0.45"/>
    <row r="75" ht="16" customHeight="1" x14ac:dyDescent="0.45"/>
    <row r="76" ht="16" customHeight="1" x14ac:dyDescent="0.45"/>
    <row r="77" ht="16" customHeight="1" x14ac:dyDescent="0.45"/>
    <row r="78" ht="16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E18" sqref="E18"/>
    </sheetView>
  </sheetViews>
  <sheetFormatPr defaultRowHeight="12.6" x14ac:dyDescent="0.45"/>
  <cols>
    <col min="1" max="1" width="4.76171875" style="18" customWidth="1"/>
    <col min="2" max="2" width="67" style="18" bestFit="1" customWidth="1"/>
    <col min="3" max="5" width="10.64453125" style="11" customWidth="1"/>
  </cols>
  <sheetData>
    <row r="1" spans="2:5" s="1" customFormat="1" ht="16" customHeight="1" x14ac:dyDescent="0.45">
      <c r="C1" s="6"/>
      <c r="D1" s="6"/>
      <c r="E1" s="6"/>
    </row>
    <row r="2" spans="2:5" s="1" customFormat="1" ht="16" customHeight="1" x14ac:dyDescent="0.45">
      <c r="B2" s="5" t="s">
        <v>52</v>
      </c>
      <c r="C2" s="6"/>
      <c r="D2" s="6"/>
      <c r="E2" s="6"/>
    </row>
    <row r="3" spans="2:5" s="1" customFormat="1" ht="16" customHeight="1" x14ac:dyDescent="0.45">
      <c r="C3" s="6"/>
      <c r="D3" s="6"/>
      <c r="E3" s="6"/>
    </row>
    <row r="4" spans="2:5" s="1" customFormat="1" ht="16" customHeight="1" x14ac:dyDescent="0.45">
      <c r="B4" s="2"/>
      <c r="C4" s="7">
        <v>2023</v>
      </c>
      <c r="D4" s="7">
        <v>2024</v>
      </c>
      <c r="E4" s="7">
        <v>2025</v>
      </c>
    </row>
    <row r="5" spans="2:5" s="1" customFormat="1" ht="16" customHeight="1" x14ac:dyDescent="0.45">
      <c r="B5" s="3" t="s">
        <v>53</v>
      </c>
      <c r="C5" s="8">
        <v>65581</v>
      </c>
      <c r="D5" s="8">
        <v>53227</v>
      </c>
      <c r="E5" s="8">
        <v>75356</v>
      </c>
    </row>
    <row r="6" spans="2:5" s="1" customFormat="1" ht="16" customHeight="1" x14ac:dyDescent="0.45">
      <c r="B6" s="3" t="s">
        <v>54</v>
      </c>
      <c r="C6" s="8">
        <v>12213</v>
      </c>
      <c r="D6" s="8">
        <v>13290</v>
      </c>
      <c r="E6" s="8">
        <v>14107</v>
      </c>
    </row>
    <row r="7" spans="2:5" s="1" customFormat="1" ht="16" customHeight="1" x14ac:dyDescent="0.45">
      <c r="B7" s="4" t="s">
        <v>55</v>
      </c>
      <c r="C7" s="9">
        <v>77794</v>
      </c>
      <c r="D7" s="9">
        <v>66517</v>
      </c>
      <c r="E7" s="9">
        <v>89463</v>
      </c>
    </row>
    <row r="8" spans="2:5" s="1" customFormat="1" ht="16" customHeight="1" x14ac:dyDescent="0.45">
      <c r="B8" s="3" t="s">
        <v>56</v>
      </c>
      <c r="C8" s="8">
        <v>-59864</v>
      </c>
      <c r="D8" s="8">
        <v>-57394</v>
      </c>
      <c r="E8" s="8">
        <v>-73761</v>
      </c>
    </row>
    <row r="9" spans="2:5" s="1" customFormat="1" ht="16" customHeight="1" x14ac:dyDescent="0.45">
      <c r="B9" s="3" t="s">
        <v>57</v>
      </c>
      <c r="C9" s="8">
        <v>-10206</v>
      </c>
      <c r="D9" s="8">
        <v>-11114</v>
      </c>
      <c r="E9" s="8">
        <v>-11413</v>
      </c>
    </row>
    <row r="10" spans="2:5" s="1" customFormat="1" ht="16" customHeight="1" x14ac:dyDescent="0.45">
      <c r="B10" s="4" t="s">
        <v>58</v>
      </c>
      <c r="C10" s="9">
        <v>-70070</v>
      </c>
      <c r="D10" s="9">
        <v>-68508</v>
      </c>
      <c r="E10" s="9">
        <v>-85174</v>
      </c>
    </row>
    <row r="11" spans="2:5" s="1" customFormat="1" ht="16" customHeight="1" x14ac:dyDescent="0.45">
      <c r="B11" s="3" t="s">
        <v>59</v>
      </c>
      <c r="C11" s="10">
        <v>46</v>
      </c>
      <c r="D11" s="10">
        <v>71</v>
      </c>
      <c r="E11" s="10">
        <v>25</v>
      </c>
    </row>
    <row r="12" spans="2:5" s="1" customFormat="1" ht="16" customHeight="1" x14ac:dyDescent="0.45">
      <c r="B12" s="3" t="s">
        <v>60</v>
      </c>
      <c r="C12" s="8">
        <v>-5168</v>
      </c>
      <c r="D12" s="8">
        <v>-5021</v>
      </c>
      <c r="E12" s="8">
        <v>-6090</v>
      </c>
    </row>
    <row r="13" spans="2:5" s="1" customFormat="1" ht="16" customHeight="1" x14ac:dyDescent="0.45">
      <c r="B13" s="3" t="s">
        <v>61</v>
      </c>
      <c r="C13" s="8">
        <v>-3377</v>
      </c>
      <c r="D13" s="8">
        <v>-3812</v>
      </c>
      <c r="E13" s="8">
        <v>-3615</v>
      </c>
    </row>
    <row r="14" spans="2:5" s="1" customFormat="1" ht="16" customHeight="1" x14ac:dyDescent="0.45">
      <c r="B14" s="3" t="s">
        <v>62</v>
      </c>
      <c r="C14" s="10">
        <v>2</v>
      </c>
      <c r="D14" s="10">
        <v>46</v>
      </c>
      <c r="E14" s="10">
        <v>9672</v>
      </c>
    </row>
    <row r="15" spans="2:5" s="1" customFormat="1" ht="16" customHeight="1" x14ac:dyDescent="0.45">
      <c r="B15" s="4" t="s">
        <v>63</v>
      </c>
      <c r="C15" s="9">
        <v>-773</v>
      </c>
      <c r="D15" s="9">
        <v>-10707</v>
      </c>
      <c r="E15" s="9">
        <v>4281</v>
      </c>
    </row>
    <row r="16" spans="2:5" s="1" customFormat="1" ht="16" customHeight="1" x14ac:dyDescent="0.45">
      <c r="B16" s="3" t="s">
        <v>64</v>
      </c>
      <c r="C16" s="8">
        <v>1227</v>
      </c>
      <c r="D16" s="8">
        <v>1222</v>
      </c>
      <c r="E16" s="8">
        <v>1125</v>
      </c>
    </row>
    <row r="17" spans="2:5" s="1" customFormat="1" ht="16" customHeight="1" x14ac:dyDescent="0.45">
      <c r="B17" s="3" t="s">
        <v>65</v>
      </c>
      <c r="C17" s="8">
        <v>-2459</v>
      </c>
      <c r="D17" s="8">
        <v>-2725</v>
      </c>
      <c r="E17" s="8">
        <v>-2771</v>
      </c>
    </row>
    <row r="18" spans="2:5" s="1" customFormat="1" ht="16" customHeight="1" x14ac:dyDescent="0.45">
      <c r="B18" s="4" t="s">
        <v>66</v>
      </c>
      <c r="C18" s="9">
        <v>-2005</v>
      </c>
      <c r="D18" s="9">
        <v>-12210</v>
      </c>
      <c r="E18" s="9">
        <v>2635</v>
      </c>
    </row>
    <row r="19" spans="2:5" s="1" customFormat="1" ht="16" customHeight="1" x14ac:dyDescent="0.45">
      <c r="B19" s="3" t="s">
        <v>67</v>
      </c>
      <c r="C19" s="10">
        <v>-237</v>
      </c>
      <c r="D19" s="10">
        <v>381</v>
      </c>
      <c r="E19" s="10">
        <v>-397</v>
      </c>
    </row>
    <row r="20" spans="2:5" s="1" customFormat="1" ht="16" customHeight="1" x14ac:dyDescent="0.45">
      <c r="B20" s="4" t="s">
        <v>68</v>
      </c>
      <c r="C20" s="9">
        <v>-2242</v>
      </c>
      <c r="D20" s="9">
        <v>-11829</v>
      </c>
      <c r="E20" s="9">
        <v>2238</v>
      </c>
    </row>
    <row r="21" spans="2:5" s="1" customFormat="1" ht="16" customHeight="1" x14ac:dyDescent="0.45">
      <c r="B21" s="3" t="s">
        <v>69</v>
      </c>
      <c r="C21" s="10">
        <v>-20</v>
      </c>
      <c r="D21" s="10">
        <v>-12</v>
      </c>
      <c r="E21" s="10">
        <v>3</v>
      </c>
    </row>
    <row r="22" spans="2:5" s="1" customFormat="1" ht="16" customHeight="1" x14ac:dyDescent="0.45">
      <c r="B22" s="4" t="s">
        <v>70</v>
      </c>
      <c r="C22" s="9">
        <v>-2222</v>
      </c>
      <c r="D22" s="9">
        <v>-11817</v>
      </c>
      <c r="E22" s="9">
        <v>2235</v>
      </c>
    </row>
    <row r="23" spans="2:5" s="1" customFormat="1" ht="16" customHeight="1" x14ac:dyDescent="0.45">
      <c r="B23" s="3" t="s">
        <v>71</v>
      </c>
      <c r="C23" s="10" t="s">
        <v>72</v>
      </c>
      <c r="D23" s="10">
        <v>58</v>
      </c>
      <c r="E23" s="10">
        <v>345</v>
      </c>
    </row>
    <row r="24" spans="2:5" s="1" customFormat="1" ht="16" customHeight="1" x14ac:dyDescent="0.45">
      <c r="B24" s="4" t="s">
        <v>73</v>
      </c>
      <c r="C24" s="9">
        <v>-2222</v>
      </c>
      <c r="D24" s="9">
        <v>-11875</v>
      </c>
      <c r="E24" s="9">
        <v>1890</v>
      </c>
    </row>
    <row r="25" spans="2:5" s="1" customFormat="1" ht="16" customHeight="1" x14ac:dyDescent="0.45">
      <c r="B25" s="3" t="s">
        <v>74</v>
      </c>
      <c r="C25" s="12">
        <v>-3.67</v>
      </c>
      <c r="D25" s="12">
        <v>-18.36</v>
      </c>
      <c r="E25" s="12">
        <v>2.4900000000000002</v>
      </c>
    </row>
    <row r="26" spans="2:5" s="1" customFormat="1" ht="16" customHeight="1" x14ac:dyDescent="0.45">
      <c r="B26" s="3" t="s">
        <v>75</v>
      </c>
      <c r="C26" s="12">
        <v>-3.67</v>
      </c>
      <c r="D26" s="12">
        <v>-18.36</v>
      </c>
      <c r="E26" s="12">
        <v>2.48</v>
      </c>
    </row>
    <row r="27" spans="2:5" ht="16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View Filing Data</dc:title>
  <dc:creator>Veselina Dinova</dc:creator>
  <cp:lastModifiedBy>Veselina Dinova</cp:lastModifiedBy>
  <dcterms:created xsi:type="dcterms:W3CDTF">2025-06-15T16:35:04Z</dcterms:created>
  <dcterms:modified xsi:type="dcterms:W3CDTF">2026-10-16T01:30:30Z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2025-06-15T00:00:00Z</vt:filetime>
  </property>
  <property fmtid="{D5CDD505-2E9C-101B-9397-08002B2CF9AE}" pid="3" name="Creator">
    <vt:lpwstr>Mozilla/5.0 (Windows NT 10.0; Win64; x64) AppleWebKit/537.36 (KHTML, like Gecko) Chrome/137.0.0.0 Safari/537.36 Edg/137.0.0.0</vt:lpwstr>
  </property>
  <property fmtid="{D5CDD505-2E9C-101B-9397-08002B2CF9AE}" pid="4" name="LastSaved">
    <vt:filetime>2025-06-15T00:00:00Z</vt:filetime>
  </property>
  <property fmtid="{D5CDD505-2E9C-101B-9397-08002B2CF9AE}" pid="5" name="Producer">
    <vt:lpwstr>Skia/PDF m137</vt:lpwstr>
  </property>
</Properties>
</file>