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C Berkeley 2025/FT FIA - Fall 2025/Forecasting and valuation/"/>
    </mc:Choice>
  </mc:AlternateContent>
  <xr:revisionPtr revIDLastSave="268" documentId="8_{D8BFF5A9-9300-4192-85CF-A5517A7F4637}" xr6:coauthVersionLast="47" xr6:coauthVersionMax="47" xr10:uidLastSave="{1D281072-8920-433C-A377-CA016008A44D}"/>
  <bookViews>
    <workbookView xWindow="-96" yWindow="-96" windowWidth="23232" windowHeight="13872" activeTab="2" xr2:uid="{00000000-000D-0000-FFFF-FFFF00000000}"/>
  </bookViews>
  <sheets>
    <sheet name="Valuation summary" sheetId="25" r:id="rId1"/>
    <sheet name="Valuation - base - in class" sheetId="42" r:id="rId2"/>
    <sheet name="Valuation - base" sheetId="26" r:id="rId3"/>
    <sheet name="Forecast vs Actuals 2025" sheetId="28" r:id="rId4"/>
    <sheet name="Revenue forecast" sheetId="27" r:id="rId5"/>
    <sheet name="Valuation - new product" sheetId="40" r:id="rId6"/>
    <sheet name="Valuation - lower margins" sheetId="41" r:id="rId7"/>
    <sheet name="Valuation - base - 2026" sheetId="30" r:id="rId8"/>
    <sheet name="cost of capital" sheetId="29" r:id="rId9"/>
    <sheet name="IS" sheetId="1" r:id="rId10"/>
    <sheet name="IS common size" sheetId="7" r:id="rId11"/>
    <sheet name="IS graphs" sheetId="8" r:id="rId12"/>
    <sheet name="Sales and profit growth" sheetId="19" r:id="rId13"/>
    <sheet name="BS" sheetId="3" r:id="rId14"/>
    <sheet name="BS common size" sheetId="5" r:id="rId15"/>
    <sheet name="BS graphs" sheetId="6" r:id="rId16"/>
    <sheet name="CF" sheetId="4" r:id="rId17"/>
    <sheet name="WC days chart" sheetId="21" r:id="rId18"/>
    <sheet name="Efficiency ratios" sheetId="9" r:id="rId19"/>
    <sheet name="Liquidity" sheetId="10" r:id="rId20"/>
    <sheet name="Leverage" sheetId="11" r:id="rId21"/>
    <sheet name="Share price performance" sheetId="12" state="hidden" r:id="rId22"/>
    <sheet name="ROE" sheetId="22" r:id="rId23"/>
    <sheet name="Profitability" sheetId="1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5" l="1"/>
  <c r="C6" i="25"/>
  <c r="C90" i="42"/>
  <c r="C62" i="42"/>
  <c r="C60" i="42"/>
  <c r="C59" i="42"/>
  <c r="C58" i="42"/>
  <c r="C57" i="42"/>
  <c r="C56" i="42"/>
  <c r="C61" i="42" s="1"/>
  <c r="C63" i="42" s="1"/>
  <c r="C53" i="42"/>
  <c r="C52" i="42"/>
  <c r="C51" i="42"/>
  <c r="C50" i="42"/>
  <c r="C49" i="42"/>
  <c r="C48" i="42"/>
  <c r="C47" i="42"/>
  <c r="F46" i="42"/>
  <c r="F72" i="42" s="1"/>
  <c r="E46" i="42"/>
  <c r="E72" i="42" s="1"/>
  <c r="D46" i="42"/>
  <c r="D72" i="42" s="1"/>
  <c r="C46" i="42"/>
  <c r="C42" i="42"/>
  <c r="C41" i="42"/>
  <c r="C43" i="42" s="1"/>
  <c r="C37" i="42"/>
  <c r="C36" i="42"/>
  <c r="C38" i="42" s="1"/>
  <c r="C35" i="42"/>
  <c r="C34" i="42"/>
  <c r="J33" i="42"/>
  <c r="J46" i="42" s="1"/>
  <c r="J72" i="42" s="1"/>
  <c r="I33" i="42"/>
  <c r="I46" i="42" s="1"/>
  <c r="I72" i="42" s="1"/>
  <c r="H33" i="42"/>
  <c r="H46" i="42" s="1"/>
  <c r="H72" i="42" s="1"/>
  <c r="G33" i="42"/>
  <c r="G46" i="42" s="1"/>
  <c r="G72" i="42" s="1"/>
  <c r="F33" i="42"/>
  <c r="E33" i="42"/>
  <c r="D33" i="42"/>
  <c r="C33" i="42"/>
  <c r="E29" i="42"/>
  <c r="F29" i="42" s="1"/>
  <c r="G29" i="42" s="1"/>
  <c r="H29" i="42" s="1"/>
  <c r="I29" i="42" s="1"/>
  <c r="J29" i="42" s="1"/>
  <c r="D29" i="42"/>
  <c r="F28" i="42"/>
  <c r="G28" i="42" s="1"/>
  <c r="G26" i="42"/>
  <c r="F26" i="42"/>
  <c r="E26" i="42"/>
  <c r="D25" i="42"/>
  <c r="C23" i="42"/>
  <c r="D23" i="42" s="1"/>
  <c r="D22" i="42"/>
  <c r="E22" i="42" s="1"/>
  <c r="E21" i="42"/>
  <c r="D21" i="42"/>
  <c r="D20" i="42"/>
  <c r="D19" i="42"/>
  <c r="C19" i="42"/>
  <c r="D18" i="42"/>
  <c r="E18" i="42" s="1"/>
  <c r="D17" i="42"/>
  <c r="D16" i="42"/>
  <c r="C16" i="42"/>
  <c r="C15" i="42"/>
  <c r="D15" i="42" s="1"/>
  <c r="C14" i="42"/>
  <c r="D14" i="42" s="1"/>
  <c r="E12" i="42"/>
  <c r="F12" i="42" s="1"/>
  <c r="G12" i="42" s="1"/>
  <c r="H12" i="42" s="1"/>
  <c r="I12" i="42" s="1"/>
  <c r="J12" i="42" s="1"/>
  <c r="D12" i="42"/>
  <c r="F11" i="42"/>
  <c r="D11" i="42"/>
  <c r="H10" i="42"/>
  <c r="G10" i="42"/>
  <c r="F10" i="42"/>
  <c r="D10" i="42"/>
  <c r="D9" i="42"/>
  <c r="E9" i="42" s="1"/>
  <c r="F9" i="42" s="1"/>
  <c r="G9" i="42" s="1"/>
  <c r="H9" i="42" s="1"/>
  <c r="C9" i="42"/>
  <c r="G8" i="42"/>
  <c r="C8" i="42"/>
  <c r="J7" i="42"/>
  <c r="I7" i="42"/>
  <c r="H7" i="42"/>
  <c r="G7" i="42"/>
  <c r="F7" i="42"/>
  <c r="E7" i="42"/>
  <c r="D7" i="42"/>
  <c r="E34" i="41"/>
  <c r="D66" i="41" s="1"/>
  <c r="D34" i="41"/>
  <c r="D37" i="41" s="1"/>
  <c r="C90" i="41"/>
  <c r="C88" i="41"/>
  <c r="C87" i="41"/>
  <c r="C62" i="41"/>
  <c r="C60" i="41"/>
  <c r="D59" i="41"/>
  <c r="C59" i="41"/>
  <c r="C58" i="41"/>
  <c r="C57" i="41"/>
  <c r="C56" i="41"/>
  <c r="C61" i="41" s="1"/>
  <c r="C63" i="41" s="1"/>
  <c r="D53" i="41"/>
  <c r="C53" i="41"/>
  <c r="C52" i="41"/>
  <c r="C51" i="41"/>
  <c r="C50" i="41"/>
  <c r="C49" i="41"/>
  <c r="C54" i="41" s="1"/>
  <c r="C48" i="41"/>
  <c r="C47" i="41"/>
  <c r="C14" i="41" s="1"/>
  <c r="D14" i="41" s="1"/>
  <c r="E46" i="41"/>
  <c r="E72" i="41" s="1"/>
  <c r="D46" i="41"/>
  <c r="D72" i="41" s="1"/>
  <c r="C46" i="41"/>
  <c r="C42" i="41"/>
  <c r="C43" i="41" s="1"/>
  <c r="C41" i="41"/>
  <c r="D39" i="41"/>
  <c r="C37" i="41"/>
  <c r="C36" i="41"/>
  <c r="C38" i="41" s="1"/>
  <c r="C35" i="41"/>
  <c r="C34" i="41"/>
  <c r="J33" i="41"/>
  <c r="J46" i="41" s="1"/>
  <c r="J72" i="41" s="1"/>
  <c r="I33" i="41"/>
  <c r="I46" i="41" s="1"/>
  <c r="I72" i="41" s="1"/>
  <c r="H33" i="41"/>
  <c r="H46" i="41" s="1"/>
  <c r="H72" i="41" s="1"/>
  <c r="G33" i="41"/>
  <c r="G46" i="41" s="1"/>
  <c r="G72" i="41" s="1"/>
  <c r="F33" i="41"/>
  <c r="F46" i="41" s="1"/>
  <c r="F72" i="41" s="1"/>
  <c r="E33" i="41"/>
  <c r="D33" i="41"/>
  <c r="C33" i="41"/>
  <c r="E29" i="41"/>
  <c r="F29" i="41" s="1"/>
  <c r="G29" i="41" s="1"/>
  <c r="H29" i="41" s="1"/>
  <c r="I29" i="41" s="1"/>
  <c r="J29" i="41" s="1"/>
  <c r="D29" i="41"/>
  <c r="F28" i="41"/>
  <c r="G28" i="41" s="1"/>
  <c r="F26" i="41"/>
  <c r="E26" i="41"/>
  <c r="D25" i="41"/>
  <c r="D68" i="41" s="1"/>
  <c r="C23" i="41"/>
  <c r="D23" i="41" s="1"/>
  <c r="D22" i="41"/>
  <c r="E22" i="41" s="1"/>
  <c r="E21" i="41"/>
  <c r="D21" i="41"/>
  <c r="D20" i="41"/>
  <c r="E20" i="41" s="1"/>
  <c r="D19" i="41"/>
  <c r="E19" i="41" s="1"/>
  <c r="C19" i="41"/>
  <c r="D18" i="41"/>
  <c r="D17" i="41"/>
  <c r="E17" i="41" s="1"/>
  <c r="D16" i="41"/>
  <c r="E16" i="41" s="1"/>
  <c r="C16" i="41"/>
  <c r="C15" i="41"/>
  <c r="D15" i="41" s="1"/>
  <c r="E12" i="41"/>
  <c r="F12" i="41" s="1"/>
  <c r="G12" i="41" s="1"/>
  <c r="H12" i="41" s="1"/>
  <c r="I12" i="41" s="1"/>
  <c r="J12" i="41" s="1"/>
  <c r="D12" i="41"/>
  <c r="F11" i="41"/>
  <c r="G11" i="41" s="1"/>
  <c r="D11" i="41"/>
  <c r="D40" i="41" s="1"/>
  <c r="G10" i="41"/>
  <c r="F10" i="41"/>
  <c r="D10" i="41"/>
  <c r="D9" i="41"/>
  <c r="E9" i="41" s="1"/>
  <c r="F9" i="41" s="1"/>
  <c r="G9" i="41" s="1"/>
  <c r="H9" i="41" s="1"/>
  <c r="C9" i="41"/>
  <c r="H8" i="41"/>
  <c r="I8" i="41" s="1"/>
  <c r="J8" i="41" s="1"/>
  <c r="C8" i="41"/>
  <c r="D7" i="41"/>
  <c r="E34" i="40"/>
  <c r="F34" i="40" s="1"/>
  <c r="G34" i="40" s="1"/>
  <c r="H34" i="40" s="1"/>
  <c r="I34" i="40" s="1"/>
  <c r="J34" i="40" s="1"/>
  <c r="D34" i="40"/>
  <c r="C90" i="40"/>
  <c r="C88" i="40"/>
  <c r="C87" i="40"/>
  <c r="C62" i="40"/>
  <c r="C60" i="40"/>
  <c r="C59" i="40"/>
  <c r="C58" i="40"/>
  <c r="C57" i="40"/>
  <c r="C56" i="40"/>
  <c r="C61" i="40" s="1"/>
  <c r="C63" i="40" s="1"/>
  <c r="C53" i="40"/>
  <c r="C52" i="40"/>
  <c r="C51" i="40"/>
  <c r="C50" i="40"/>
  <c r="C49" i="40"/>
  <c r="C48" i="40"/>
  <c r="C47" i="40"/>
  <c r="I46" i="40"/>
  <c r="I72" i="40" s="1"/>
  <c r="H46" i="40"/>
  <c r="H72" i="40" s="1"/>
  <c r="F46" i="40"/>
  <c r="F72" i="40" s="1"/>
  <c r="E46" i="40"/>
  <c r="E72" i="40" s="1"/>
  <c r="D46" i="40"/>
  <c r="D72" i="40" s="1"/>
  <c r="C46" i="40"/>
  <c r="C42" i="40"/>
  <c r="C43" i="40" s="1"/>
  <c r="C41" i="40"/>
  <c r="D39" i="40"/>
  <c r="C37" i="40"/>
  <c r="C36" i="40"/>
  <c r="C38" i="40" s="1"/>
  <c r="C35" i="40"/>
  <c r="C34" i="40"/>
  <c r="J33" i="40"/>
  <c r="J46" i="40" s="1"/>
  <c r="J72" i="40" s="1"/>
  <c r="I33" i="40"/>
  <c r="H33" i="40"/>
  <c r="G33" i="40"/>
  <c r="G46" i="40" s="1"/>
  <c r="G72" i="40" s="1"/>
  <c r="F33" i="40"/>
  <c r="E33" i="40"/>
  <c r="D33" i="40"/>
  <c r="C33" i="40"/>
  <c r="D29" i="40"/>
  <c r="E29" i="40" s="1"/>
  <c r="F29" i="40" s="1"/>
  <c r="G29" i="40" s="1"/>
  <c r="H29" i="40" s="1"/>
  <c r="I29" i="40" s="1"/>
  <c r="J29" i="40" s="1"/>
  <c r="G28" i="40"/>
  <c r="F28" i="40"/>
  <c r="E26" i="40"/>
  <c r="F26" i="40" s="1"/>
  <c r="G26" i="40" s="1"/>
  <c r="D25" i="40"/>
  <c r="D68" i="40" s="1"/>
  <c r="C23" i="40"/>
  <c r="D23" i="40" s="1"/>
  <c r="D22" i="40"/>
  <c r="E22" i="40" s="1"/>
  <c r="F22" i="40" s="1"/>
  <c r="G22" i="40" s="1"/>
  <c r="H22" i="40" s="1"/>
  <c r="I22" i="40" s="1"/>
  <c r="J22" i="40" s="1"/>
  <c r="D21" i="40"/>
  <c r="D20" i="40"/>
  <c r="E20" i="40" s="1"/>
  <c r="C19" i="40"/>
  <c r="D19" i="40" s="1"/>
  <c r="E18" i="40"/>
  <c r="D18" i="40"/>
  <c r="D17" i="40"/>
  <c r="E17" i="40" s="1"/>
  <c r="D16" i="40"/>
  <c r="D59" i="40" s="1"/>
  <c r="C16" i="40"/>
  <c r="F15" i="40"/>
  <c r="F58" i="40" s="1"/>
  <c r="E15" i="40"/>
  <c r="E58" i="40" s="1"/>
  <c r="D15" i="40"/>
  <c r="D58" i="40" s="1"/>
  <c r="C15" i="40"/>
  <c r="C14" i="40"/>
  <c r="D14" i="40" s="1"/>
  <c r="D12" i="40"/>
  <c r="E12" i="40" s="1"/>
  <c r="F12" i="40" s="1"/>
  <c r="G12" i="40" s="1"/>
  <c r="H12" i="40" s="1"/>
  <c r="I12" i="40" s="1"/>
  <c r="J12" i="40" s="1"/>
  <c r="F11" i="40"/>
  <c r="D11" i="40"/>
  <c r="D40" i="40" s="1"/>
  <c r="F10" i="40"/>
  <c r="G10" i="40" s="1"/>
  <c r="H10" i="40" s="1"/>
  <c r="D10" i="40"/>
  <c r="C9" i="40"/>
  <c r="D9" i="40" s="1"/>
  <c r="E9" i="40" s="1"/>
  <c r="F9" i="40" s="1"/>
  <c r="G9" i="40" s="1"/>
  <c r="H9" i="40" s="1"/>
  <c r="H8" i="40"/>
  <c r="I8" i="40" s="1"/>
  <c r="J8" i="40" s="1"/>
  <c r="C8" i="40"/>
  <c r="J7" i="40"/>
  <c r="I7" i="40"/>
  <c r="D7" i="40"/>
  <c r="C86" i="30"/>
  <c r="C94" i="30"/>
  <c r="E26" i="26"/>
  <c r="F26" i="26" s="1"/>
  <c r="G26" i="26" s="1"/>
  <c r="H26" i="26" s="1"/>
  <c r="I26" i="26" s="1"/>
  <c r="J26" i="26" s="1"/>
  <c r="H28" i="42" l="1"/>
  <c r="E17" i="42"/>
  <c r="I9" i="42"/>
  <c r="J9" i="42" s="1"/>
  <c r="H26" i="42"/>
  <c r="E14" i="42"/>
  <c r="F14" i="42" s="1"/>
  <c r="G14" i="42" s="1"/>
  <c r="H14" i="42" s="1"/>
  <c r="I14" i="42" s="1"/>
  <c r="J14" i="42" s="1"/>
  <c r="E15" i="42"/>
  <c r="F18" i="42"/>
  <c r="F22" i="42"/>
  <c r="I10" i="42"/>
  <c r="E23" i="42"/>
  <c r="G11" i="42"/>
  <c r="C54" i="42"/>
  <c r="F21" i="42"/>
  <c r="E25" i="42"/>
  <c r="F25" i="42" s="1"/>
  <c r="G25" i="42" s="1"/>
  <c r="H25" i="42" s="1"/>
  <c r="I25" i="42" s="1"/>
  <c r="J25" i="42" s="1"/>
  <c r="E20" i="42"/>
  <c r="H8" i="42"/>
  <c r="E16" i="42"/>
  <c r="E19" i="42"/>
  <c r="F34" i="41"/>
  <c r="E49" i="41"/>
  <c r="F17" i="41"/>
  <c r="E14" i="41"/>
  <c r="F14" i="41" s="1"/>
  <c r="G14" i="41" s="1"/>
  <c r="H14" i="41" s="1"/>
  <c r="I14" i="41" s="1"/>
  <c r="J14" i="41" s="1"/>
  <c r="D47" i="41"/>
  <c r="D58" i="41"/>
  <c r="E40" i="41" s="1"/>
  <c r="E15" i="41"/>
  <c r="E59" i="41"/>
  <c r="F16" i="41"/>
  <c r="F19" i="41"/>
  <c r="E53" i="41"/>
  <c r="I9" i="41"/>
  <c r="J9" i="41" s="1"/>
  <c r="H10" i="41"/>
  <c r="D60" i="41"/>
  <c r="E23" i="41"/>
  <c r="E68" i="41"/>
  <c r="F68" i="41" s="1"/>
  <c r="G68" i="41" s="1"/>
  <c r="H68" i="41" s="1"/>
  <c r="I68" i="41" s="1"/>
  <c r="J68" i="41" s="1"/>
  <c r="H11" i="41"/>
  <c r="H28" i="41"/>
  <c r="E51" i="41"/>
  <c r="F20" i="41"/>
  <c r="D75" i="41"/>
  <c r="D67" i="41"/>
  <c r="D74" i="41" s="1"/>
  <c r="F22" i="41"/>
  <c r="D79" i="41"/>
  <c r="G26" i="41"/>
  <c r="D49" i="41"/>
  <c r="E37" i="41"/>
  <c r="F21" i="41"/>
  <c r="F37" i="41"/>
  <c r="E25" i="41"/>
  <c r="F25" i="41" s="1"/>
  <c r="G25" i="41" s="1"/>
  <c r="H25" i="41" s="1"/>
  <c r="I25" i="41" s="1"/>
  <c r="J25" i="41" s="1"/>
  <c r="E35" i="41"/>
  <c r="E36" i="41" s="1"/>
  <c r="D77" i="41"/>
  <c r="E18" i="41"/>
  <c r="D35" i="41"/>
  <c r="D51" i="41"/>
  <c r="G66" i="40"/>
  <c r="G67" i="40" s="1"/>
  <c r="G74" i="40" s="1"/>
  <c r="F66" i="40"/>
  <c r="F67" i="40" s="1"/>
  <c r="F74" i="40" s="1"/>
  <c r="I10" i="40"/>
  <c r="I9" i="40"/>
  <c r="H37" i="40"/>
  <c r="F20" i="40"/>
  <c r="E51" i="40"/>
  <c r="G15" i="40"/>
  <c r="H28" i="40"/>
  <c r="E49" i="40"/>
  <c r="F17" i="40"/>
  <c r="D60" i="40"/>
  <c r="E23" i="40"/>
  <c r="H26" i="40"/>
  <c r="H35" i="40"/>
  <c r="I35" i="40"/>
  <c r="J35" i="40"/>
  <c r="J36" i="40" s="1"/>
  <c r="D49" i="40"/>
  <c r="C54" i="40"/>
  <c r="G11" i="40"/>
  <c r="E14" i="40"/>
  <c r="F14" i="40" s="1"/>
  <c r="G14" i="40" s="1"/>
  <c r="H14" i="40" s="1"/>
  <c r="I14" i="40" s="1"/>
  <c r="J14" i="40" s="1"/>
  <c r="D47" i="40"/>
  <c r="F18" i="40"/>
  <c r="D53" i="40"/>
  <c r="E19" i="40"/>
  <c r="D35" i="40"/>
  <c r="D50" i="40" s="1"/>
  <c r="D37" i="40"/>
  <c r="E35" i="40"/>
  <c r="E36" i="40" s="1"/>
  <c r="D66" i="40"/>
  <c r="E37" i="40"/>
  <c r="D51" i="40"/>
  <c r="D79" i="40" s="1"/>
  <c r="E66" i="40"/>
  <c r="F35" i="40"/>
  <c r="F37" i="40"/>
  <c r="E40" i="40"/>
  <c r="G35" i="40"/>
  <c r="G37" i="40"/>
  <c r="E21" i="40"/>
  <c r="E25" i="40"/>
  <c r="F25" i="40" s="1"/>
  <c r="G25" i="40" s="1"/>
  <c r="H25" i="40" s="1"/>
  <c r="I25" i="40" s="1"/>
  <c r="J25" i="40" s="1"/>
  <c r="E16" i="40"/>
  <c r="C57" i="26"/>
  <c r="C57" i="30" s="1"/>
  <c r="C62" i="26"/>
  <c r="C60" i="26"/>
  <c r="C59" i="26"/>
  <c r="C59" i="30" s="1"/>
  <c r="C58" i="26"/>
  <c r="C61" i="26"/>
  <c r="C63" i="26" s="1"/>
  <c r="C56" i="26"/>
  <c r="C51" i="26"/>
  <c r="C51" i="30" s="1"/>
  <c r="C53" i="26"/>
  <c r="C52" i="26"/>
  <c r="C50" i="26"/>
  <c r="C49" i="26"/>
  <c r="C48" i="26"/>
  <c r="C47" i="26"/>
  <c r="C47" i="30" s="1"/>
  <c r="C42" i="26"/>
  <c r="C41" i="26"/>
  <c r="C37" i="26"/>
  <c r="C35" i="26"/>
  <c r="C34" i="26"/>
  <c r="C34" i="30" s="1"/>
  <c r="C9" i="26"/>
  <c r="C8" i="26"/>
  <c r="C8" i="30" s="1"/>
  <c r="V4" i="5"/>
  <c r="V5" i="5"/>
  <c r="V6" i="5"/>
  <c r="V40" i="5" s="1"/>
  <c r="V7" i="5"/>
  <c r="V8" i="5"/>
  <c r="V41" i="5" s="1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42" i="5" s="1"/>
  <c r="V28" i="5"/>
  <c r="V29" i="5"/>
  <c r="V30" i="5"/>
  <c r="V31" i="5"/>
  <c r="V32" i="5"/>
  <c r="V33" i="5"/>
  <c r="V34" i="5"/>
  <c r="V35" i="5"/>
  <c r="V36" i="5"/>
  <c r="V43" i="5"/>
  <c r="V45" i="5"/>
  <c r="V46" i="5"/>
  <c r="V47" i="5"/>
  <c r="V48" i="5"/>
  <c r="V49" i="5"/>
  <c r="V4" i="19"/>
  <c r="V5" i="19"/>
  <c r="V6" i="19"/>
  <c r="V7" i="19"/>
  <c r="V8" i="19"/>
  <c r="V4" i="7"/>
  <c r="V5" i="7"/>
  <c r="V17" i="7" s="1"/>
  <c r="V6" i="7"/>
  <c r="V7" i="7"/>
  <c r="V8" i="7"/>
  <c r="V9" i="7"/>
  <c r="V10" i="7"/>
  <c r="V11" i="7"/>
  <c r="V12" i="7"/>
  <c r="V13" i="7"/>
  <c r="V14" i="7"/>
  <c r="V15" i="7"/>
  <c r="V18" i="7"/>
  <c r="V19" i="7"/>
  <c r="V20" i="7"/>
  <c r="V6" i="13"/>
  <c r="V7" i="13"/>
  <c r="V8" i="13"/>
  <c r="V9" i="13"/>
  <c r="V12" i="13"/>
  <c r="V14" i="13"/>
  <c r="V15" i="13"/>
  <c r="V16" i="13"/>
  <c r="V17" i="13" s="1"/>
  <c r="V5" i="11"/>
  <c r="V23" i="11" s="1"/>
  <c r="V6" i="11"/>
  <c r="V24" i="11" s="1"/>
  <c r="V7" i="11"/>
  <c r="V8" i="11"/>
  <c r="V9" i="11"/>
  <c r="V10" i="11"/>
  <c r="V11" i="11"/>
  <c r="V12" i="11"/>
  <c r="V18" i="11" s="1"/>
  <c r="V26" i="11" s="1"/>
  <c r="V13" i="11"/>
  <c r="V14" i="11"/>
  <c r="V15" i="11"/>
  <c r="V16" i="11"/>
  <c r="V19" i="11" s="1"/>
  <c r="V30" i="11" s="1"/>
  <c r="V5" i="10"/>
  <c r="V6" i="10"/>
  <c r="V7" i="10"/>
  <c r="V8" i="10"/>
  <c r="V9" i="10"/>
  <c r="V10" i="10"/>
  <c r="V11" i="10"/>
  <c r="V14" i="10"/>
  <c r="V15" i="10"/>
  <c r="V16" i="10"/>
  <c r="V17" i="10"/>
  <c r="V5" i="9"/>
  <c r="V6" i="9"/>
  <c r="V7" i="9"/>
  <c r="V8" i="9"/>
  <c r="V9" i="9"/>
  <c r="V10" i="9"/>
  <c r="V13" i="9"/>
  <c r="V15" i="9"/>
  <c r="V16" i="9"/>
  <c r="V17" i="9"/>
  <c r="V19" i="9"/>
  <c r="V20" i="9"/>
  <c r="V21" i="9"/>
  <c r="V23" i="9"/>
  <c r="V38" i="3"/>
  <c r="G8" i="26"/>
  <c r="G8" i="30" s="1"/>
  <c r="E17" i="28"/>
  <c r="U6" i="13"/>
  <c r="U7" i="13"/>
  <c r="U8" i="13"/>
  <c r="U9" i="13"/>
  <c r="U12" i="13"/>
  <c r="U14" i="13"/>
  <c r="U15" i="13"/>
  <c r="U16" i="13"/>
  <c r="U17" i="13"/>
  <c r="U5" i="11"/>
  <c r="U23" i="11" s="1"/>
  <c r="U6" i="11"/>
  <c r="U24" i="11" s="1"/>
  <c r="U7" i="11"/>
  <c r="U8" i="11"/>
  <c r="U9" i="11"/>
  <c r="U10" i="11"/>
  <c r="U11" i="11"/>
  <c r="U12" i="11"/>
  <c r="U18" i="11" s="1"/>
  <c r="U13" i="11"/>
  <c r="U14" i="11"/>
  <c r="U15" i="11"/>
  <c r="U16" i="11"/>
  <c r="U19" i="11" s="1"/>
  <c r="U30" i="11" s="1"/>
  <c r="U5" i="10"/>
  <c r="U6" i="10"/>
  <c r="U7" i="10"/>
  <c r="U8" i="10"/>
  <c r="U9" i="10"/>
  <c r="U10" i="10"/>
  <c r="U11" i="10"/>
  <c r="U14" i="10"/>
  <c r="U15" i="10"/>
  <c r="U16" i="10"/>
  <c r="U17" i="10"/>
  <c r="U5" i="9"/>
  <c r="U13" i="9" s="1"/>
  <c r="U6" i="9"/>
  <c r="U16" i="9" s="1"/>
  <c r="U20" i="9" s="1"/>
  <c r="U7" i="9"/>
  <c r="U8" i="9"/>
  <c r="U9" i="9"/>
  <c r="U10" i="9"/>
  <c r="U40" i="5"/>
  <c r="U41" i="5"/>
  <c r="U42" i="5"/>
  <c r="U43" i="5"/>
  <c r="U45" i="5"/>
  <c r="U46" i="5"/>
  <c r="U47" i="5"/>
  <c r="U48" i="5"/>
  <c r="U49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8" i="3"/>
  <c r="U4" i="19"/>
  <c r="U5" i="19"/>
  <c r="U6" i="19"/>
  <c r="U7" i="19"/>
  <c r="U8" i="19"/>
  <c r="U4" i="7"/>
  <c r="U5" i="7"/>
  <c r="U6" i="7"/>
  <c r="U7" i="7"/>
  <c r="U8" i="7"/>
  <c r="U9" i="7"/>
  <c r="U10" i="7"/>
  <c r="U11" i="7"/>
  <c r="U12" i="7"/>
  <c r="U13" i="7"/>
  <c r="U14" i="7"/>
  <c r="U15" i="7"/>
  <c r="U17" i="7"/>
  <c r="U18" i="7"/>
  <c r="U19" i="7"/>
  <c r="U20" i="7"/>
  <c r="U12" i="1"/>
  <c r="U6" i="1"/>
  <c r="E27" i="30"/>
  <c r="F27" i="30"/>
  <c r="G27" i="30"/>
  <c r="C36" i="26"/>
  <c r="C36" i="30" s="1"/>
  <c r="T6" i="13"/>
  <c r="T7" i="13"/>
  <c r="T8" i="13"/>
  <c r="T9" i="13"/>
  <c r="T15" i="13" s="1"/>
  <c r="T12" i="13"/>
  <c r="T14" i="13"/>
  <c r="T5" i="11"/>
  <c r="T6" i="11"/>
  <c r="T7" i="11"/>
  <c r="T8" i="11"/>
  <c r="T9" i="11"/>
  <c r="T10" i="11"/>
  <c r="T11" i="11"/>
  <c r="T12" i="11"/>
  <c r="T18" i="11" s="1"/>
  <c r="T26" i="11" s="1"/>
  <c r="T13" i="11"/>
  <c r="T27" i="11" s="1"/>
  <c r="T14" i="11"/>
  <c r="T15" i="11"/>
  <c r="T19" i="11" s="1"/>
  <c r="T30" i="11" s="1"/>
  <c r="T16" i="11"/>
  <c r="T5" i="10"/>
  <c r="T6" i="10"/>
  <c r="T7" i="10"/>
  <c r="T8" i="10"/>
  <c r="T15" i="10" s="1"/>
  <c r="T9" i="10"/>
  <c r="T10" i="10"/>
  <c r="T11" i="10"/>
  <c r="T14" i="10"/>
  <c r="T16" i="10"/>
  <c r="T17" i="10"/>
  <c r="T5" i="9"/>
  <c r="T6" i="9"/>
  <c r="T7" i="9"/>
  <c r="T8" i="9"/>
  <c r="T15" i="9" s="1"/>
  <c r="T19" i="9" s="1"/>
  <c r="T9" i="9"/>
  <c r="T10" i="9"/>
  <c r="T13" i="9"/>
  <c r="T45" i="5"/>
  <c r="T46" i="5"/>
  <c r="T47" i="5"/>
  <c r="T48" i="5"/>
  <c r="T49" i="5"/>
  <c r="T4" i="5"/>
  <c r="T5" i="5"/>
  <c r="T6" i="5"/>
  <c r="T40" i="5" s="1"/>
  <c r="T7" i="5"/>
  <c r="T8" i="5"/>
  <c r="T41" i="5" s="1"/>
  <c r="T9" i="5"/>
  <c r="T10" i="5"/>
  <c r="T11" i="5"/>
  <c r="T12" i="5"/>
  <c r="T13" i="5"/>
  <c r="T14" i="5"/>
  <c r="T15" i="5"/>
  <c r="T16" i="5"/>
  <c r="T17" i="5"/>
  <c r="T43" i="5" s="1"/>
  <c r="T18" i="5"/>
  <c r="T19" i="5"/>
  <c r="T20" i="5"/>
  <c r="T21" i="5"/>
  <c r="T22" i="5"/>
  <c r="T23" i="5"/>
  <c r="T24" i="5"/>
  <c r="T25" i="5"/>
  <c r="T26" i="5"/>
  <c r="T27" i="5"/>
  <c r="T42" i="5" s="1"/>
  <c r="T28" i="5"/>
  <c r="T29" i="5"/>
  <c r="T30" i="5"/>
  <c r="T31" i="5"/>
  <c r="T32" i="5"/>
  <c r="T33" i="5"/>
  <c r="T34" i="5"/>
  <c r="T35" i="5"/>
  <c r="T36" i="5"/>
  <c r="T4" i="19"/>
  <c r="T5" i="19"/>
  <c r="T6" i="19"/>
  <c r="T7" i="19"/>
  <c r="T8" i="19"/>
  <c r="T4" i="7"/>
  <c r="T5" i="7"/>
  <c r="T17" i="7" s="1"/>
  <c r="T6" i="7"/>
  <c r="T7" i="7"/>
  <c r="T8" i="7"/>
  <c r="T9" i="7"/>
  <c r="T10" i="7"/>
  <c r="T11" i="7"/>
  <c r="T12" i="7"/>
  <c r="T13" i="7"/>
  <c r="T14" i="7"/>
  <c r="T15" i="7"/>
  <c r="T18" i="7"/>
  <c r="T19" i="7"/>
  <c r="T20" i="7"/>
  <c r="S38" i="3"/>
  <c r="T38" i="3"/>
  <c r="C30" i="30"/>
  <c r="C33" i="26"/>
  <c r="C33" i="30" s="1"/>
  <c r="C46" i="26"/>
  <c r="C46" i="30" s="1"/>
  <c r="D5" i="30"/>
  <c r="E5" i="30"/>
  <c r="F5" i="30"/>
  <c r="G5" i="30"/>
  <c r="H5" i="30"/>
  <c r="I5" i="30"/>
  <c r="J5" i="30"/>
  <c r="D6" i="30"/>
  <c r="E6" i="30"/>
  <c r="F6" i="30"/>
  <c r="G6" i="30"/>
  <c r="H6" i="30"/>
  <c r="I6" i="30"/>
  <c r="J6" i="30"/>
  <c r="E8" i="30"/>
  <c r="F8" i="30"/>
  <c r="E10" i="30"/>
  <c r="F10" i="30"/>
  <c r="G10" i="30"/>
  <c r="H10" i="30"/>
  <c r="I10" i="30"/>
  <c r="J10" i="30"/>
  <c r="E11" i="30"/>
  <c r="F11" i="30"/>
  <c r="G11" i="30"/>
  <c r="H11" i="30"/>
  <c r="I11" i="30"/>
  <c r="J11" i="30"/>
  <c r="D12" i="30"/>
  <c r="E12" i="30"/>
  <c r="F12" i="30"/>
  <c r="G12" i="30"/>
  <c r="H12" i="30"/>
  <c r="I12" i="30"/>
  <c r="J12" i="30"/>
  <c r="D17" i="30"/>
  <c r="E17" i="30"/>
  <c r="F17" i="30"/>
  <c r="G17" i="30"/>
  <c r="H17" i="30"/>
  <c r="I17" i="30"/>
  <c r="J17" i="30"/>
  <c r="D18" i="30"/>
  <c r="E18" i="30"/>
  <c r="F18" i="30"/>
  <c r="G18" i="30"/>
  <c r="H18" i="30"/>
  <c r="I18" i="30"/>
  <c r="J18" i="30"/>
  <c r="D20" i="30"/>
  <c r="E20" i="30"/>
  <c r="F20" i="30"/>
  <c r="G20" i="30"/>
  <c r="H20" i="30"/>
  <c r="I20" i="30"/>
  <c r="J20" i="30"/>
  <c r="D21" i="30"/>
  <c r="E21" i="30"/>
  <c r="F21" i="30"/>
  <c r="G21" i="30"/>
  <c r="H21" i="30"/>
  <c r="I21" i="30"/>
  <c r="J21" i="30"/>
  <c r="D22" i="30"/>
  <c r="E22" i="30"/>
  <c r="F22" i="30"/>
  <c r="G22" i="30"/>
  <c r="H22" i="30"/>
  <c r="I22" i="30"/>
  <c r="J22" i="30"/>
  <c r="D25" i="30"/>
  <c r="E25" i="30"/>
  <c r="F25" i="30"/>
  <c r="G25" i="30"/>
  <c r="H25" i="30"/>
  <c r="I25" i="30"/>
  <c r="J25" i="30"/>
  <c r="D26" i="30"/>
  <c r="E26" i="30"/>
  <c r="F26" i="30"/>
  <c r="G26" i="30"/>
  <c r="H26" i="30"/>
  <c r="I26" i="30"/>
  <c r="J26" i="30"/>
  <c r="D27" i="30"/>
  <c r="D29" i="30"/>
  <c r="E29" i="30"/>
  <c r="F29" i="30"/>
  <c r="G29" i="30"/>
  <c r="H29" i="30"/>
  <c r="I29" i="30"/>
  <c r="J29" i="30"/>
  <c r="D32" i="30"/>
  <c r="E32" i="30"/>
  <c r="F32" i="30"/>
  <c r="G32" i="30"/>
  <c r="H32" i="30"/>
  <c r="I32" i="30"/>
  <c r="J32" i="30"/>
  <c r="F33" i="30"/>
  <c r="D45" i="30"/>
  <c r="E45" i="30"/>
  <c r="F45" i="30"/>
  <c r="G45" i="30"/>
  <c r="H45" i="30"/>
  <c r="I45" i="30"/>
  <c r="J45" i="30"/>
  <c r="D71" i="30"/>
  <c r="E71" i="30"/>
  <c r="F71" i="30"/>
  <c r="G71" i="30"/>
  <c r="H71" i="30"/>
  <c r="I71" i="30"/>
  <c r="J71" i="30"/>
  <c r="C6" i="30"/>
  <c r="C9" i="30"/>
  <c r="C10" i="30"/>
  <c r="C11" i="30"/>
  <c r="C12" i="30"/>
  <c r="C17" i="30"/>
  <c r="C18" i="30"/>
  <c r="C20" i="30"/>
  <c r="C21" i="30"/>
  <c r="C22" i="30"/>
  <c r="C25" i="30"/>
  <c r="C26" i="30"/>
  <c r="C28" i="30"/>
  <c r="C29" i="30"/>
  <c r="C32" i="30"/>
  <c r="C35" i="30"/>
  <c r="C37" i="30"/>
  <c r="C39" i="30"/>
  <c r="C40" i="30"/>
  <c r="C42" i="30"/>
  <c r="C45" i="30"/>
  <c r="C48" i="30"/>
  <c r="C49" i="30"/>
  <c r="C50" i="30"/>
  <c r="C52" i="30"/>
  <c r="C53" i="30"/>
  <c r="C56" i="30"/>
  <c r="C58" i="30"/>
  <c r="C60" i="30"/>
  <c r="C62" i="30"/>
  <c r="C68" i="30"/>
  <c r="C5" i="30"/>
  <c r="I33" i="26"/>
  <c r="I33" i="30" s="1"/>
  <c r="H33" i="26"/>
  <c r="H33" i="30" s="1"/>
  <c r="G33" i="26"/>
  <c r="G33" i="30" s="1"/>
  <c r="F33" i="26"/>
  <c r="E33" i="26"/>
  <c r="E33" i="30" s="1"/>
  <c r="D33" i="26"/>
  <c r="D33" i="30" s="1"/>
  <c r="S6" i="13"/>
  <c r="S7" i="13"/>
  <c r="S8" i="13"/>
  <c r="S9" i="13"/>
  <c r="S14" i="13"/>
  <c r="S5" i="11"/>
  <c r="S6" i="11"/>
  <c r="S7" i="11"/>
  <c r="S8" i="11"/>
  <c r="S9" i="11"/>
  <c r="S10" i="11"/>
  <c r="S11" i="11"/>
  <c r="S12" i="11"/>
  <c r="S18" i="11" s="1"/>
  <c r="S26" i="11" s="1"/>
  <c r="S13" i="11"/>
  <c r="S27" i="11" s="1"/>
  <c r="S14" i="11"/>
  <c r="S15" i="11"/>
  <c r="S16" i="11"/>
  <c r="S19" i="11"/>
  <c r="S5" i="10"/>
  <c r="S6" i="10"/>
  <c r="S7" i="10"/>
  <c r="S8" i="10"/>
  <c r="S9" i="10"/>
  <c r="S10" i="10"/>
  <c r="S11" i="10"/>
  <c r="S17" i="10" s="1"/>
  <c r="S14" i="10"/>
  <c r="S15" i="10"/>
  <c r="S16" i="10"/>
  <c r="S6" i="9"/>
  <c r="R6" i="9"/>
  <c r="S5" i="9"/>
  <c r="S7" i="9"/>
  <c r="S8" i="9"/>
  <c r="S9" i="9"/>
  <c r="T16" i="9" s="1"/>
  <c r="T20" i="9" s="1"/>
  <c r="S10" i="9"/>
  <c r="T17" i="9" s="1"/>
  <c r="T21" i="9" s="1"/>
  <c r="S40" i="5"/>
  <c r="S42" i="5"/>
  <c r="S45" i="5"/>
  <c r="S46" i="5"/>
  <c r="S47" i="5"/>
  <c r="S48" i="5"/>
  <c r="S49" i="5"/>
  <c r="S4" i="5"/>
  <c r="S5" i="5"/>
  <c r="S6" i="5"/>
  <c r="S7" i="5"/>
  <c r="S8" i="5"/>
  <c r="S9" i="5"/>
  <c r="S10" i="5"/>
  <c r="S11" i="5"/>
  <c r="S41" i="5" s="1"/>
  <c r="S12" i="5"/>
  <c r="S13" i="5"/>
  <c r="S14" i="5"/>
  <c r="S15" i="5"/>
  <c r="S16" i="5"/>
  <c r="S17" i="5"/>
  <c r="S18" i="5"/>
  <c r="S43" i="5" s="1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4" i="19"/>
  <c r="S5" i="19"/>
  <c r="S6" i="19"/>
  <c r="S7" i="19"/>
  <c r="S8" i="19"/>
  <c r="S4" i="7"/>
  <c r="S5" i="7"/>
  <c r="S17" i="7" s="1"/>
  <c r="S6" i="7"/>
  <c r="S7" i="7"/>
  <c r="S8" i="7"/>
  <c r="S9" i="7"/>
  <c r="S10" i="7"/>
  <c r="S11" i="7"/>
  <c r="S12" i="7"/>
  <c r="S13" i="7"/>
  <c r="S14" i="7"/>
  <c r="S15" i="7"/>
  <c r="S18" i="7"/>
  <c r="S19" i="7"/>
  <c r="S20" i="7"/>
  <c r="E5" i="28"/>
  <c r="D16" i="28"/>
  <c r="I26" i="42" l="1"/>
  <c r="I28" i="42"/>
  <c r="J28" i="42" s="1"/>
  <c r="G18" i="42"/>
  <c r="G21" i="42"/>
  <c r="H11" i="42"/>
  <c r="F15" i="42"/>
  <c r="F19" i="42"/>
  <c r="F20" i="42"/>
  <c r="G22" i="42"/>
  <c r="F23" i="42"/>
  <c r="J10" i="42"/>
  <c r="F16" i="42"/>
  <c r="F17" i="42"/>
  <c r="I8" i="42"/>
  <c r="E38" i="41"/>
  <c r="D52" i="41"/>
  <c r="G34" i="41"/>
  <c r="E66" i="41"/>
  <c r="F35" i="41"/>
  <c r="F36" i="41" s="1"/>
  <c r="F38" i="41" s="1"/>
  <c r="F73" i="41" s="1"/>
  <c r="D36" i="41"/>
  <c r="D38" i="41" s="1"/>
  <c r="D56" i="41"/>
  <c r="D57" i="41"/>
  <c r="D81" i="41" s="1"/>
  <c r="D50" i="41"/>
  <c r="F56" i="41"/>
  <c r="G21" i="41"/>
  <c r="F49" i="41"/>
  <c r="F77" i="41" s="1"/>
  <c r="G17" i="41"/>
  <c r="E60" i="41"/>
  <c r="F23" i="41"/>
  <c r="E77" i="41"/>
  <c r="I10" i="41"/>
  <c r="I28" i="41"/>
  <c r="J28" i="41" s="1"/>
  <c r="G19" i="41"/>
  <c r="F53" i="41"/>
  <c r="E47" i="41"/>
  <c r="E58" i="41"/>
  <c r="F40" i="41" s="1"/>
  <c r="F15" i="41"/>
  <c r="H26" i="41"/>
  <c r="E57" i="41"/>
  <c r="F57" i="41"/>
  <c r="F81" i="41" s="1"/>
  <c r="G22" i="41"/>
  <c r="I11" i="41"/>
  <c r="E56" i="41"/>
  <c r="E79" i="41"/>
  <c r="F59" i="41"/>
  <c r="G16" i="41"/>
  <c r="F18" i="41"/>
  <c r="E50" i="41"/>
  <c r="G20" i="41"/>
  <c r="F51" i="41"/>
  <c r="E73" i="41"/>
  <c r="F75" i="40"/>
  <c r="G75" i="40"/>
  <c r="E77" i="40"/>
  <c r="D56" i="40"/>
  <c r="D80" i="40" s="1"/>
  <c r="E75" i="40"/>
  <c r="E67" i="40"/>
  <c r="E74" i="40" s="1"/>
  <c r="H36" i="40"/>
  <c r="H38" i="40" s="1"/>
  <c r="H57" i="40"/>
  <c r="E38" i="40"/>
  <c r="I26" i="40"/>
  <c r="J10" i="40"/>
  <c r="D57" i="40"/>
  <c r="D81" i="40" s="1"/>
  <c r="D36" i="40"/>
  <c r="D38" i="40" s="1"/>
  <c r="E60" i="40"/>
  <c r="F23" i="40"/>
  <c r="F36" i="40"/>
  <c r="F38" i="40" s="1"/>
  <c r="F57" i="40"/>
  <c r="D75" i="40"/>
  <c r="D67" i="40"/>
  <c r="E68" i="40"/>
  <c r="F68" i="40" s="1"/>
  <c r="G68" i="40" s="1"/>
  <c r="H68" i="40" s="1"/>
  <c r="I68" i="40" s="1"/>
  <c r="J68" i="40" s="1"/>
  <c r="D78" i="40"/>
  <c r="H11" i="40"/>
  <c r="D77" i="40"/>
  <c r="E79" i="40"/>
  <c r="I36" i="40"/>
  <c r="I57" i="40"/>
  <c r="F19" i="40"/>
  <c r="E53" i="40"/>
  <c r="J57" i="40"/>
  <c r="J81" i="40" s="1"/>
  <c r="F16" i="40"/>
  <c r="E59" i="40"/>
  <c r="F40" i="40" s="1"/>
  <c r="F50" i="40"/>
  <c r="G18" i="40"/>
  <c r="F49" i="40"/>
  <c r="F77" i="40" s="1"/>
  <c r="G17" i="40"/>
  <c r="E56" i="40"/>
  <c r="F21" i="40"/>
  <c r="E47" i="40"/>
  <c r="H66" i="40"/>
  <c r="I28" i="40"/>
  <c r="J28" i="40" s="1"/>
  <c r="E50" i="40"/>
  <c r="E57" i="40"/>
  <c r="G58" i="40"/>
  <c r="H15" i="40"/>
  <c r="G36" i="40"/>
  <c r="G38" i="40" s="1"/>
  <c r="G57" i="40"/>
  <c r="F51" i="40"/>
  <c r="F79" i="40" s="1"/>
  <c r="G20" i="40"/>
  <c r="J9" i="40"/>
  <c r="J37" i="40" s="1"/>
  <c r="J38" i="40" s="1"/>
  <c r="I37" i="40"/>
  <c r="C87" i="26"/>
  <c r="C54" i="26"/>
  <c r="C54" i="30" s="1"/>
  <c r="V29" i="11"/>
  <c r="V28" i="11"/>
  <c r="V27" i="11"/>
  <c r="V25" i="11"/>
  <c r="V22" i="11"/>
  <c r="H8" i="26"/>
  <c r="H8" i="30" s="1"/>
  <c r="C61" i="30"/>
  <c r="C38" i="26"/>
  <c r="U26" i="11"/>
  <c r="U29" i="11"/>
  <c r="U28" i="11"/>
  <c r="U27" i="11"/>
  <c r="U22" i="11"/>
  <c r="U25" i="11"/>
  <c r="U17" i="9"/>
  <c r="U21" i="9" s="1"/>
  <c r="U15" i="9"/>
  <c r="U19" i="9" s="1"/>
  <c r="U23" i="9" s="1"/>
  <c r="T22" i="11"/>
  <c r="T16" i="13"/>
  <c r="T17" i="13" s="1"/>
  <c r="T29" i="11"/>
  <c r="S29" i="11"/>
  <c r="T24" i="11"/>
  <c r="C63" i="30"/>
  <c r="T28" i="11"/>
  <c r="T25" i="11"/>
  <c r="T23" i="11"/>
  <c r="T23" i="9"/>
  <c r="S25" i="11"/>
  <c r="S24" i="11"/>
  <c r="S23" i="11"/>
  <c r="S28" i="11"/>
  <c r="S22" i="11"/>
  <c r="S30" i="11"/>
  <c r="C93" i="30"/>
  <c r="C88" i="26"/>
  <c r="H22" i="42" l="1"/>
  <c r="H18" i="42"/>
  <c r="J8" i="42"/>
  <c r="G17" i="42"/>
  <c r="G20" i="42"/>
  <c r="G16" i="42"/>
  <c r="J26" i="42"/>
  <c r="G19" i="42"/>
  <c r="G15" i="42"/>
  <c r="I11" i="42"/>
  <c r="G23" i="42"/>
  <c r="H21" i="42"/>
  <c r="E75" i="41"/>
  <c r="E67" i="41"/>
  <c r="E74" i="41" s="1"/>
  <c r="F66" i="41"/>
  <c r="H34" i="41"/>
  <c r="G35" i="41"/>
  <c r="G36" i="41" s="1"/>
  <c r="G37" i="41"/>
  <c r="D78" i="41"/>
  <c r="E78" i="41"/>
  <c r="H20" i="41"/>
  <c r="G51" i="41"/>
  <c r="D80" i="41"/>
  <c r="D61" i="41"/>
  <c r="H16" i="41"/>
  <c r="G59" i="41"/>
  <c r="E80" i="41"/>
  <c r="E61" i="41"/>
  <c r="H21" i="41"/>
  <c r="F80" i="41"/>
  <c r="F47" i="41"/>
  <c r="G53" i="41"/>
  <c r="H19" i="41"/>
  <c r="F50" i="41"/>
  <c r="G18" i="41"/>
  <c r="F79" i="41"/>
  <c r="J11" i="41"/>
  <c r="E81" i="41"/>
  <c r="G15" i="41"/>
  <c r="F58" i="41"/>
  <c r="G40" i="41" s="1"/>
  <c r="D73" i="41"/>
  <c r="D41" i="41"/>
  <c r="J10" i="41"/>
  <c r="F60" i="41"/>
  <c r="F61" i="41" s="1"/>
  <c r="G23" i="41"/>
  <c r="H22" i="41"/>
  <c r="H17" i="41"/>
  <c r="G49" i="41"/>
  <c r="I26" i="41"/>
  <c r="I38" i="40"/>
  <c r="I73" i="40" s="1"/>
  <c r="F78" i="40"/>
  <c r="G81" i="40"/>
  <c r="I81" i="40"/>
  <c r="G73" i="40"/>
  <c r="E81" i="40"/>
  <c r="J26" i="40"/>
  <c r="H81" i="40"/>
  <c r="J73" i="40"/>
  <c r="F47" i="40"/>
  <c r="F56" i="40"/>
  <c r="G21" i="40"/>
  <c r="E78" i="40"/>
  <c r="H73" i="40"/>
  <c r="E61" i="40"/>
  <c r="E80" i="40"/>
  <c r="G49" i="40"/>
  <c r="G77" i="40" s="1"/>
  <c r="H17" i="40"/>
  <c r="D74" i="40"/>
  <c r="D52" i="40"/>
  <c r="E52" i="40" s="1"/>
  <c r="F52" i="40" s="1"/>
  <c r="G52" i="40" s="1"/>
  <c r="D61" i="40"/>
  <c r="E73" i="40"/>
  <c r="I11" i="40"/>
  <c r="F81" i="40"/>
  <c r="F73" i="40"/>
  <c r="F60" i="40"/>
  <c r="G23" i="40"/>
  <c r="H20" i="40"/>
  <c r="G51" i="40"/>
  <c r="G79" i="40" s="1"/>
  <c r="G16" i="40"/>
  <c r="F59" i="40"/>
  <c r="G40" i="40" s="1"/>
  <c r="H58" i="40"/>
  <c r="I15" i="40"/>
  <c r="G19" i="40"/>
  <c r="F53" i="40"/>
  <c r="H75" i="40"/>
  <c r="H67" i="40"/>
  <c r="I66" i="40"/>
  <c r="G50" i="40"/>
  <c r="H18" i="40"/>
  <c r="D41" i="40"/>
  <c r="D73" i="40"/>
  <c r="I8" i="26"/>
  <c r="J8" i="26"/>
  <c r="I8" i="30"/>
  <c r="C38" i="30"/>
  <c r="G7" i="26"/>
  <c r="H7" i="26"/>
  <c r="I7" i="26"/>
  <c r="J7" i="26"/>
  <c r="D13" i="27"/>
  <c r="E13" i="27"/>
  <c r="F13" i="27"/>
  <c r="G13" i="27"/>
  <c r="H13" i="27"/>
  <c r="I13" i="27"/>
  <c r="J13" i="27"/>
  <c r="C13" i="27"/>
  <c r="J11" i="42" l="1"/>
  <c r="H20" i="42"/>
  <c r="H17" i="42"/>
  <c r="I18" i="42"/>
  <c r="H23" i="42"/>
  <c r="H16" i="42"/>
  <c r="H19" i="42"/>
  <c r="I21" i="42"/>
  <c r="I22" i="42"/>
  <c r="H15" i="42"/>
  <c r="G38" i="41"/>
  <c r="G73" i="41" s="1"/>
  <c r="I34" i="41"/>
  <c r="H35" i="41"/>
  <c r="H36" i="41" s="1"/>
  <c r="H37" i="41"/>
  <c r="G66" i="41"/>
  <c r="F75" i="41"/>
  <c r="F67" i="41"/>
  <c r="F74" i="41" s="1"/>
  <c r="G57" i="41"/>
  <c r="G81" i="41" s="1"/>
  <c r="G56" i="41"/>
  <c r="G80" i="41" s="1"/>
  <c r="E52" i="41"/>
  <c r="F52" i="41" s="1"/>
  <c r="E82" i="41"/>
  <c r="E84" i="41" s="1"/>
  <c r="J26" i="41"/>
  <c r="G50" i="41"/>
  <c r="H18" i="41"/>
  <c r="G78" i="41"/>
  <c r="I20" i="41"/>
  <c r="H51" i="41"/>
  <c r="H79" i="41" s="1"/>
  <c r="D82" i="41"/>
  <c r="D84" i="41" s="1"/>
  <c r="F78" i="41"/>
  <c r="I17" i="41"/>
  <c r="H49" i="41"/>
  <c r="G47" i="41"/>
  <c r="H59" i="41"/>
  <c r="I16" i="41"/>
  <c r="H77" i="41"/>
  <c r="H57" i="41"/>
  <c r="H81" i="41" s="1"/>
  <c r="I22" i="41"/>
  <c r="H23" i="41"/>
  <c r="G60" i="41"/>
  <c r="G61" i="41" s="1"/>
  <c r="I19" i="41"/>
  <c r="H53" i="41"/>
  <c r="G79" i="41"/>
  <c r="D42" i="41"/>
  <c r="D43" i="41" s="1"/>
  <c r="H56" i="41"/>
  <c r="I21" i="41"/>
  <c r="H15" i="41"/>
  <c r="G58" i="41"/>
  <c r="H40" i="41" s="1"/>
  <c r="G77" i="41"/>
  <c r="E82" i="40"/>
  <c r="E84" i="40" s="1"/>
  <c r="D42" i="40"/>
  <c r="D43" i="40" s="1"/>
  <c r="J11" i="40"/>
  <c r="I75" i="40"/>
  <c r="J66" i="40"/>
  <c r="J75" i="40" s="1"/>
  <c r="H16" i="40"/>
  <c r="G59" i="40"/>
  <c r="H40" i="40" s="1"/>
  <c r="H50" i="40"/>
  <c r="H78" i="40" s="1"/>
  <c r="I18" i="40"/>
  <c r="G47" i="40"/>
  <c r="I67" i="40"/>
  <c r="H74" i="40"/>
  <c r="H19" i="40"/>
  <c r="G53" i="40"/>
  <c r="H49" i="40"/>
  <c r="I17" i="40"/>
  <c r="I20" i="40"/>
  <c r="H51" i="40"/>
  <c r="H79" i="40" s="1"/>
  <c r="G60" i="40"/>
  <c r="H23" i="40"/>
  <c r="F80" i="40"/>
  <c r="F82" i="40" s="1"/>
  <c r="F84" i="40" s="1"/>
  <c r="F61" i="40"/>
  <c r="H52" i="40"/>
  <c r="I58" i="40"/>
  <c r="J15" i="40"/>
  <c r="J58" i="40" s="1"/>
  <c r="D82" i="40"/>
  <c r="D84" i="40" s="1"/>
  <c r="G78" i="40"/>
  <c r="G56" i="40"/>
  <c r="H21" i="40"/>
  <c r="C41" i="30"/>
  <c r="C43" i="26"/>
  <c r="C43" i="30" s="1"/>
  <c r="J7" i="30"/>
  <c r="I7" i="30"/>
  <c r="H7" i="30"/>
  <c r="G7" i="30"/>
  <c r="C90" i="26"/>
  <c r="C21" i="29"/>
  <c r="C20" i="29"/>
  <c r="C16" i="29"/>
  <c r="E37" i="28"/>
  <c r="E36" i="28"/>
  <c r="E32" i="28"/>
  <c r="E30" i="28"/>
  <c r="E29" i="28"/>
  <c r="E28" i="28"/>
  <c r="E27" i="28"/>
  <c r="E31" i="28"/>
  <c r="E23" i="28"/>
  <c r="E22" i="28"/>
  <c r="E21" i="28"/>
  <c r="E20" i="28"/>
  <c r="E24" i="28"/>
  <c r="E18" i="28"/>
  <c r="C16" i="28"/>
  <c r="E14" i="28"/>
  <c r="E13" i="28"/>
  <c r="E12" i="28"/>
  <c r="E8" i="28"/>
  <c r="E6" i="28"/>
  <c r="D21" i="27"/>
  <c r="E21" i="27" s="1"/>
  <c r="F21" i="27" s="1"/>
  <c r="D20" i="27"/>
  <c r="E20" i="27" s="1"/>
  <c r="F20" i="27" s="1"/>
  <c r="F19" i="27"/>
  <c r="E19" i="27"/>
  <c r="D19" i="27"/>
  <c r="F18" i="27"/>
  <c r="E18" i="27"/>
  <c r="D18" i="27"/>
  <c r="J17" i="27"/>
  <c r="J26" i="27" s="1"/>
  <c r="I17" i="27"/>
  <c r="I26" i="27" s="1"/>
  <c r="H17" i="27"/>
  <c r="H26" i="27" s="1"/>
  <c r="F17" i="27"/>
  <c r="F26" i="27" s="1"/>
  <c r="E17" i="27"/>
  <c r="E26" i="27" s="1"/>
  <c r="D17" i="27"/>
  <c r="D26" i="27" s="1"/>
  <c r="C17" i="27"/>
  <c r="C26" i="27" s="1"/>
  <c r="J9" i="27"/>
  <c r="I9" i="27"/>
  <c r="H9" i="27"/>
  <c r="G9" i="27"/>
  <c r="F9" i="27"/>
  <c r="E9" i="27"/>
  <c r="D9" i="27"/>
  <c r="C9" i="27"/>
  <c r="C16" i="26"/>
  <c r="C15" i="26"/>
  <c r="C14" i="26"/>
  <c r="F46" i="26"/>
  <c r="E46" i="26"/>
  <c r="J33" i="26"/>
  <c r="I46" i="26"/>
  <c r="H46" i="26"/>
  <c r="G46" i="26"/>
  <c r="D46" i="26"/>
  <c r="D29" i="26"/>
  <c r="E29" i="26" s="1"/>
  <c r="F29" i="26" s="1"/>
  <c r="G29" i="26" s="1"/>
  <c r="H29" i="26" s="1"/>
  <c r="I29" i="26" s="1"/>
  <c r="J29" i="26" s="1"/>
  <c r="D25" i="26"/>
  <c r="D68" i="26" s="1"/>
  <c r="C23" i="26"/>
  <c r="D22" i="26"/>
  <c r="D21" i="26"/>
  <c r="E21" i="26" s="1"/>
  <c r="F21" i="26" s="1"/>
  <c r="G21" i="26" s="1"/>
  <c r="H21" i="26" s="1"/>
  <c r="D20" i="26"/>
  <c r="C19" i="26"/>
  <c r="D18" i="26"/>
  <c r="D17" i="26"/>
  <c r="E17" i="26" s="1"/>
  <c r="D12" i="26"/>
  <c r="E12" i="26" s="1"/>
  <c r="F12" i="26" s="1"/>
  <c r="G12" i="26" s="1"/>
  <c r="H12" i="26" s="1"/>
  <c r="I12" i="26" s="1"/>
  <c r="J12" i="26" s="1"/>
  <c r="F11" i="26"/>
  <c r="G11" i="26" s="1"/>
  <c r="D11" i="26"/>
  <c r="F10" i="26"/>
  <c r="D10" i="26"/>
  <c r="D10" i="30" s="1"/>
  <c r="J8" i="30"/>
  <c r="I19" i="42" l="1"/>
  <c r="J21" i="42"/>
  <c r="I16" i="42"/>
  <c r="J22" i="42"/>
  <c r="I23" i="42"/>
  <c r="J18" i="42"/>
  <c r="I15" i="42"/>
  <c r="I17" i="42"/>
  <c r="I20" i="42"/>
  <c r="J34" i="41"/>
  <c r="I35" i="41"/>
  <c r="I36" i="41" s="1"/>
  <c r="I38" i="41" s="1"/>
  <c r="I73" i="41" s="1"/>
  <c r="I37" i="41"/>
  <c r="H66" i="41"/>
  <c r="G67" i="41"/>
  <c r="G74" i="41" s="1"/>
  <c r="G82" i="41" s="1"/>
  <c r="G84" i="41" s="1"/>
  <c r="G75" i="41"/>
  <c r="H38" i="41"/>
  <c r="H73" i="41" s="1"/>
  <c r="F82" i="41"/>
  <c r="F84" i="41" s="1"/>
  <c r="D69" i="41"/>
  <c r="D62" i="41"/>
  <c r="I53" i="41"/>
  <c r="J19" i="41"/>
  <c r="J53" i="41" s="1"/>
  <c r="I51" i="41"/>
  <c r="J20" i="41"/>
  <c r="J51" i="41" s="1"/>
  <c r="I18" i="41"/>
  <c r="H50" i="41"/>
  <c r="I59" i="41"/>
  <c r="J16" i="41"/>
  <c r="J59" i="41" s="1"/>
  <c r="H58" i="41"/>
  <c r="I40" i="41" s="1"/>
  <c r="I15" i="41"/>
  <c r="I56" i="41"/>
  <c r="J21" i="41"/>
  <c r="J17" i="41"/>
  <c r="J49" i="41" s="1"/>
  <c r="I49" i="41"/>
  <c r="I23" i="41"/>
  <c r="H60" i="41"/>
  <c r="I57" i="41"/>
  <c r="I81" i="41" s="1"/>
  <c r="J22" i="41"/>
  <c r="H47" i="41"/>
  <c r="H80" i="41"/>
  <c r="I77" i="41"/>
  <c r="I52" i="40"/>
  <c r="D69" i="40"/>
  <c r="D62" i="40" s="1"/>
  <c r="I49" i="40"/>
  <c r="I77" i="40" s="1"/>
  <c r="J17" i="40"/>
  <c r="J49" i="40" s="1"/>
  <c r="G80" i="40"/>
  <c r="G82" i="40" s="1"/>
  <c r="G84" i="40" s="1"/>
  <c r="G61" i="40"/>
  <c r="I19" i="40"/>
  <c r="H53" i="40"/>
  <c r="J67" i="40"/>
  <c r="J74" i="40" s="1"/>
  <c r="I74" i="40"/>
  <c r="H47" i="40"/>
  <c r="H56" i="40"/>
  <c r="I21" i="40"/>
  <c r="J18" i="40"/>
  <c r="J50" i="40" s="1"/>
  <c r="I50" i="40"/>
  <c r="J78" i="40" s="1"/>
  <c r="I16" i="40"/>
  <c r="H59" i="40"/>
  <c r="I40" i="40" s="1"/>
  <c r="H60" i="40"/>
  <c r="I23" i="40"/>
  <c r="J20" i="40"/>
  <c r="J51" i="40" s="1"/>
  <c r="I51" i="40"/>
  <c r="H77" i="40"/>
  <c r="D28" i="30"/>
  <c r="D68" i="30"/>
  <c r="D40" i="26"/>
  <c r="D40" i="30" s="1"/>
  <c r="D11" i="30"/>
  <c r="D39" i="26"/>
  <c r="D39" i="30" s="1"/>
  <c r="D15" i="26"/>
  <c r="C15" i="30"/>
  <c r="D23" i="26"/>
  <c r="C23" i="30"/>
  <c r="D16" i="26"/>
  <c r="C16" i="30"/>
  <c r="D14" i="26"/>
  <c r="C14" i="30"/>
  <c r="D19" i="26"/>
  <c r="C19" i="30"/>
  <c r="I72" i="26"/>
  <c r="I72" i="30" s="1"/>
  <c r="I46" i="30"/>
  <c r="J46" i="26"/>
  <c r="J33" i="30"/>
  <c r="H72" i="26"/>
  <c r="H72" i="30" s="1"/>
  <c r="H46" i="30"/>
  <c r="G72" i="26"/>
  <c r="G72" i="30" s="1"/>
  <c r="G46" i="30"/>
  <c r="F72" i="26"/>
  <c r="F72" i="30" s="1"/>
  <c r="F46" i="30"/>
  <c r="E72" i="26"/>
  <c r="E72" i="30" s="1"/>
  <c r="E46" i="30"/>
  <c r="D72" i="26"/>
  <c r="D72" i="30" s="1"/>
  <c r="D46" i="30"/>
  <c r="C22" i="27"/>
  <c r="E25" i="26"/>
  <c r="F25" i="26" s="1"/>
  <c r="G25" i="26" s="1"/>
  <c r="H25" i="26" s="1"/>
  <c r="I25" i="26" s="1"/>
  <c r="J25" i="26" s="1"/>
  <c r="C22" i="29"/>
  <c r="F22" i="27"/>
  <c r="D22" i="27"/>
  <c r="E22" i="27"/>
  <c r="E9" i="28"/>
  <c r="E7" i="28"/>
  <c r="E26" i="28"/>
  <c r="E19" i="28"/>
  <c r="E33" i="28"/>
  <c r="G17" i="27"/>
  <c r="G26" i="27" s="1"/>
  <c r="D53" i="26"/>
  <c r="E19" i="26"/>
  <c r="H11" i="26"/>
  <c r="I21" i="26"/>
  <c r="D58" i="26"/>
  <c r="E15" i="26"/>
  <c r="G10" i="26"/>
  <c r="E18" i="26"/>
  <c r="E22" i="26"/>
  <c r="F17" i="26"/>
  <c r="E68" i="26"/>
  <c r="E20" i="26"/>
  <c r="J23" i="42" l="1"/>
  <c r="J15" i="42"/>
  <c r="J20" i="42"/>
  <c r="J17" i="42"/>
  <c r="J16" i="42"/>
  <c r="J19" i="42"/>
  <c r="H75" i="41"/>
  <c r="H67" i="41"/>
  <c r="I66" i="41"/>
  <c r="J35" i="41"/>
  <c r="J36" i="41" s="1"/>
  <c r="J37" i="41"/>
  <c r="G52" i="41"/>
  <c r="H52" i="41" s="1"/>
  <c r="I80" i="41"/>
  <c r="I58" i="41"/>
  <c r="J40" i="41" s="1"/>
  <c r="J15" i="41"/>
  <c r="J58" i="41" s="1"/>
  <c r="H61" i="41"/>
  <c r="I47" i="41"/>
  <c r="H78" i="41"/>
  <c r="I50" i="41"/>
  <c r="J18" i="41"/>
  <c r="J50" i="41" s="1"/>
  <c r="J79" i="41"/>
  <c r="I60" i="41"/>
  <c r="J23" i="41"/>
  <c r="J60" i="41" s="1"/>
  <c r="I79" i="41"/>
  <c r="D63" i="41"/>
  <c r="D48" i="41" s="1"/>
  <c r="J77" i="41"/>
  <c r="J52" i="40"/>
  <c r="D63" i="40"/>
  <c r="D48" i="40" s="1"/>
  <c r="J21" i="40"/>
  <c r="J56" i="40" s="1"/>
  <c r="I56" i="40"/>
  <c r="I47" i="40"/>
  <c r="H80" i="40"/>
  <c r="H82" i="40" s="1"/>
  <c r="H84" i="40" s="1"/>
  <c r="H61" i="40"/>
  <c r="J79" i="40"/>
  <c r="J19" i="40"/>
  <c r="J53" i="40" s="1"/>
  <c r="I53" i="40"/>
  <c r="I79" i="40"/>
  <c r="I60" i="40"/>
  <c r="J23" i="40"/>
  <c r="J60" i="40" s="1"/>
  <c r="J77" i="40"/>
  <c r="J16" i="40"/>
  <c r="J59" i="40" s="1"/>
  <c r="I59" i="40"/>
  <c r="J40" i="40" s="1"/>
  <c r="I78" i="40"/>
  <c r="E23" i="26"/>
  <c r="E16" i="26"/>
  <c r="E14" i="26"/>
  <c r="E28" i="30"/>
  <c r="D60" i="26"/>
  <c r="D23" i="30"/>
  <c r="D16" i="30"/>
  <c r="E15" i="30"/>
  <c r="D15" i="30"/>
  <c r="E19" i="30"/>
  <c r="D19" i="30"/>
  <c r="F68" i="26"/>
  <c r="E68" i="30"/>
  <c r="D60" i="30"/>
  <c r="D59" i="26"/>
  <c r="E40" i="26" s="1"/>
  <c r="D58" i="30"/>
  <c r="D53" i="30"/>
  <c r="D47" i="26"/>
  <c r="D14" i="30"/>
  <c r="J72" i="26"/>
  <c r="J72" i="30" s="1"/>
  <c r="J46" i="30"/>
  <c r="F34" i="26"/>
  <c r="E34" i="26"/>
  <c r="G22" i="27"/>
  <c r="D27" i="27"/>
  <c r="D34" i="26"/>
  <c r="F27" i="27"/>
  <c r="E27" i="27"/>
  <c r="F15" i="26"/>
  <c r="E58" i="26"/>
  <c r="J21" i="26"/>
  <c r="G17" i="26"/>
  <c r="F22" i="26"/>
  <c r="F20" i="26"/>
  <c r="E53" i="26"/>
  <c r="F19" i="26"/>
  <c r="H10" i="26"/>
  <c r="I11" i="26"/>
  <c r="F28" i="26"/>
  <c r="F18" i="26"/>
  <c r="J66" i="41" l="1"/>
  <c r="J75" i="41" s="1"/>
  <c r="I75" i="41"/>
  <c r="J56" i="41"/>
  <c r="J80" i="41" s="1"/>
  <c r="J38" i="41"/>
  <c r="J73" i="41" s="1"/>
  <c r="H74" i="41"/>
  <c r="H82" i="41" s="1"/>
  <c r="H84" i="41" s="1"/>
  <c r="I67" i="41"/>
  <c r="J57" i="41"/>
  <c r="J81" i="41" s="1"/>
  <c r="I61" i="41"/>
  <c r="J78" i="41"/>
  <c r="I78" i="41"/>
  <c r="J47" i="41"/>
  <c r="E39" i="41"/>
  <c r="E41" i="41" s="1"/>
  <c r="D54" i="41"/>
  <c r="J47" i="40"/>
  <c r="I80" i="40"/>
  <c r="I82" i="40" s="1"/>
  <c r="I84" i="40" s="1"/>
  <c r="I61" i="40"/>
  <c r="J80" i="40"/>
  <c r="J82" i="40" s="1"/>
  <c r="J61" i="40"/>
  <c r="E39" i="40"/>
  <c r="E41" i="40" s="1"/>
  <c r="D54" i="40"/>
  <c r="E23" i="30"/>
  <c r="F23" i="26"/>
  <c r="E60" i="26"/>
  <c r="E60" i="30" s="1"/>
  <c r="E16" i="30"/>
  <c r="F16" i="26"/>
  <c r="E59" i="26"/>
  <c r="E14" i="30"/>
  <c r="F14" i="26"/>
  <c r="F28" i="30"/>
  <c r="F15" i="30"/>
  <c r="F19" i="30"/>
  <c r="G68" i="26"/>
  <c r="F68" i="30"/>
  <c r="E49" i="26"/>
  <c r="E49" i="30" s="1"/>
  <c r="D59" i="30"/>
  <c r="C88" i="30" s="1"/>
  <c r="E58" i="30"/>
  <c r="E59" i="30"/>
  <c r="E40" i="30"/>
  <c r="E53" i="30"/>
  <c r="D47" i="30"/>
  <c r="E47" i="26"/>
  <c r="G14" i="26"/>
  <c r="F14" i="30"/>
  <c r="D34" i="30"/>
  <c r="D66" i="26"/>
  <c r="F35" i="26"/>
  <c r="F34" i="30"/>
  <c r="E35" i="26"/>
  <c r="E34" i="30"/>
  <c r="E66" i="26"/>
  <c r="F49" i="26"/>
  <c r="E51" i="26"/>
  <c r="E7" i="26"/>
  <c r="D7" i="26"/>
  <c r="F7" i="26"/>
  <c r="D49" i="26"/>
  <c r="D51" i="26"/>
  <c r="H22" i="27"/>
  <c r="G34" i="26"/>
  <c r="G22" i="26"/>
  <c r="G18" i="26"/>
  <c r="H17" i="26"/>
  <c r="F40" i="26"/>
  <c r="F58" i="26"/>
  <c r="G15" i="26"/>
  <c r="G28" i="26"/>
  <c r="I10" i="26"/>
  <c r="J11" i="26"/>
  <c r="F53" i="26"/>
  <c r="G19" i="26"/>
  <c r="G23" i="26"/>
  <c r="F60" i="26"/>
  <c r="G20" i="26"/>
  <c r="F51" i="26"/>
  <c r="I74" i="41" l="1"/>
  <c r="J67" i="41"/>
  <c r="J74" i="41" s="1"/>
  <c r="J82" i="41" s="1"/>
  <c r="J83" i="41" s="1"/>
  <c r="J84" i="41" s="1"/>
  <c r="C86" i="41" s="1"/>
  <c r="C89" i="41" s="1"/>
  <c r="C91" i="41" s="1"/>
  <c r="I52" i="41"/>
  <c r="J52" i="41" s="1"/>
  <c r="I82" i="41"/>
  <c r="I84" i="41" s="1"/>
  <c r="J61" i="41"/>
  <c r="E42" i="41"/>
  <c r="E43" i="41" s="1"/>
  <c r="J83" i="40"/>
  <c r="J84" i="40" s="1"/>
  <c r="C86" i="40" s="1"/>
  <c r="C89" i="40" s="1"/>
  <c r="C91" i="40" s="1"/>
  <c r="E42" i="40"/>
  <c r="E43" i="40" s="1"/>
  <c r="F23" i="30"/>
  <c r="F16" i="30"/>
  <c r="F59" i="26"/>
  <c r="G16" i="26"/>
  <c r="G28" i="30"/>
  <c r="G23" i="30"/>
  <c r="G16" i="30"/>
  <c r="G15" i="30"/>
  <c r="G19" i="30"/>
  <c r="D66" i="30"/>
  <c r="H68" i="26"/>
  <c r="G68" i="30"/>
  <c r="D67" i="26"/>
  <c r="D67" i="30" s="1"/>
  <c r="D75" i="26"/>
  <c r="D75" i="30" s="1"/>
  <c r="F56" i="26"/>
  <c r="E50" i="26"/>
  <c r="F58" i="30"/>
  <c r="F60" i="30"/>
  <c r="F40" i="30"/>
  <c r="F59" i="30"/>
  <c r="E47" i="30"/>
  <c r="F47" i="26"/>
  <c r="F53" i="30"/>
  <c r="H14" i="26"/>
  <c r="G14" i="30"/>
  <c r="D79" i="26"/>
  <c r="D79" i="30" s="1"/>
  <c r="D51" i="30"/>
  <c r="D49" i="30"/>
  <c r="D7" i="30"/>
  <c r="F57" i="26"/>
  <c r="F50" i="26"/>
  <c r="E56" i="26"/>
  <c r="F51" i="30"/>
  <c r="G49" i="26"/>
  <c r="G34" i="30"/>
  <c r="F77" i="26"/>
  <c r="F77" i="30" s="1"/>
  <c r="F49" i="30"/>
  <c r="E67" i="26"/>
  <c r="E66" i="30"/>
  <c r="F36" i="26"/>
  <c r="F35" i="30"/>
  <c r="E36" i="26"/>
  <c r="E35" i="30"/>
  <c r="E51" i="30"/>
  <c r="F7" i="30"/>
  <c r="E7" i="30"/>
  <c r="E57" i="26"/>
  <c r="E75" i="26"/>
  <c r="E75" i="30" s="1"/>
  <c r="E79" i="26"/>
  <c r="E79" i="30" s="1"/>
  <c r="G40" i="26"/>
  <c r="F66" i="26"/>
  <c r="E77" i="26"/>
  <c r="E77" i="30" s="1"/>
  <c r="D77" i="26"/>
  <c r="D77" i="30" s="1"/>
  <c r="I22" i="27"/>
  <c r="H34" i="26"/>
  <c r="G35" i="26"/>
  <c r="H23" i="26"/>
  <c r="G60" i="26"/>
  <c r="H19" i="26"/>
  <c r="G53" i="26"/>
  <c r="J10" i="26"/>
  <c r="H18" i="26"/>
  <c r="I17" i="26"/>
  <c r="H28" i="26"/>
  <c r="H22" i="26"/>
  <c r="H15" i="26"/>
  <c r="G58" i="26"/>
  <c r="H20" i="26"/>
  <c r="G51" i="26"/>
  <c r="F79" i="26"/>
  <c r="F79" i="30" s="1"/>
  <c r="H16" i="26"/>
  <c r="G59" i="26"/>
  <c r="E69" i="41" l="1"/>
  <c r="E62" i="41" s="1"/>
  <c r="E69" i="40"/>
  <c r="E62" i="40" s="1"/>
  <c r="H28" i="30"/>
  <c r="D74" i="26"/>
  <c r="D74" i="30" s="1"/>
  <c r="H23" i="30"/>
  <c r="H16" i="30"/>
  <c r="H15" i="30"/>
  <c r="H19" i="30"/>
  <c r="E50" i="30"/>
  <c r="D52" i="26"/>
  <c r="F78" i="26"/>
  <c r="F78" i="30" s="1"/>
  <c r="I68" i="26"/>
  <c r="H68" i="30"/>
  <c r="G77" i="26"/>
  <c r="G77" i="30" s="1"/>
  <c r="F56" i="30"/>
  <c r="F50" i="30"/>
  <c r="F57" i="30"/>
  <c r="E56" i="30"/>
  <c r="G58" i="30"/>
  <c r="G40" i="30"/>
  <c r="G60" i="30"/>
  <c r="G59" i="30"/>
  <c r="G53" i="30"/>
  <c r="I14" i="26"/>
  <c r="H14" i="30"/>
  <c r="F47" i="30"/>
  <c r="G47" i="26"/>
  <c r="F80" i="26"/>
  <c r="F80" i="30" s="1"/>
  <c r="F61" i="26"/>
  <c r="F36" i="30"/>
  <c r="E74" i="26"/>
  <c r="E74" i="30" s="1"/>
  <c r="E67" i="30"/>
  <c r="G56" i="26"/>
  <c r="G35" i="30"/>
  <c r="H35" i="26"/>
  <c r="H34" i="30"/>
  <c r="G51" i="30"/>
  <c r="F67" i="26"/>
  <c r="F66" i="30"/>
  <c r="G49" i="30"/>
  <c r="E36" i="30"/>
  <c r="E61" i="26"/>
  <c r="E57" i="30"/>
  <c r="F81" i="26"/>
  <c r="F81" i="30" s="1"/>
  <c r="G66" i="26"/>
  <c r="H49" i="26"/>
  <c r="G50" i="26"/>
  <c r="H40" i="26"/>
  <c r="G57" i="26"/>
  <c r="G36" i="26"/>
  <c r="F75" i="26"/>
  <c r="F75" i="30" s="1"/>
  <c r="J22" i="27"/>
  <c r="I34" i="26"/>
  <c r="H59" i="26"/>
  <c r="I16" i="26"/>
  <c r="I28" i="26"/>
  <c r="I18" i="26"/>
  <c r="H53" i="26"/>
  <c r="I19" i="26"/>
  <c r="G79" i="26"/>
  <c r="G79" i="30" s="1"/>
  <c r="H60" i="26"/>
  <c r="I23" i="26"/>
  <c r="J17" i="26"/>
  <c r="I22" i="26"/>
  <c r="H51" i="26"/>
  <c r="I20" i="26"/>
  <c r="H58" i="26"/>
  <c r="I15" i="26"/>
  <c r="E63" i="41" l="1"/>
  <c r="E48" i="41" s="1"/>
  <c r="E63" i="40"/>
  <c r="E48" i="40" s="1"/>
  <c r="J28" i="26"/>
  <c r="I28" i="30"/>
  <c r="I23" i="30"/>
  <c r="I16" i="30"/>
  <c r="I15" i="30"/>
  <c r="I19" i="30"/>
  <c r="D52" i="30"/>
  <c r="E52" i="26"/>
  <c r="E52" i="30" s="1"/>
  <c r="J68" i="26"/>
  <c r="I68" i="30"/>
  <c r="H50" i="26"/>
  <c r="H50" i="30" s="1"/>
  <c r="H40" i="30"/>
  <c r="H58" i="30"/>
  <c r="H60" i="30"/>
  <c r="F61" i="30"/>
  <c r="H59" i="30"/>
  <c r="G47" i="30"/>
  <c r="H47" i="26"/>
  <c r="J14" i="26"/>
  <c r="I14" i="30"/>
  <c r="H53" i="30"/>
  <c r="H77" i="26"/>
  <c r="H77" i="30" s="1"/>
  <c r="H49" i="30"/>
  <c r="I49" i="26"/>
  <c r="I34" i="30"/>
  <c r="G67" i="26"/>
  <c r="G66" i="30"/>
  <c r="F74" i="26"/>
  <c r="F74" i="30" s="1"/>
  <c r="F67" i="30"/>
  <c r="H56" i="26"/>
  <c r="H35" i="30"/>
  <c r="G75" i="26"/>
  <c r="G75" i="30" s="1"/>
  <c r="G80" i="26"/>
  <c r="G80" i="30" s="1"/>
  <c r="G56" i="30"/>
  <c r="H51" i="30"/>
  <c r="G36" i="30"/>
  <c r="G81" i="26"/>
  <c r="G81" i="30" s="1"/>
  <c r="G57" i="30"/>
  <c r="H57" i="26"/>
  <c r="H36" i="26"/>
  <c r="G78" i="26"/>
  <c r="G78" i="30" s="1"/>
  <c r="G50" i="30"/>
  <c r="E61" i="30"/>
  <c r="G61" i="26"/>
  <c r="I40" i="26"/>
  <c r="J34" i="26"/>
  <c r="I35" i="26"/>
  <c r="H66" i="26"/>
  <c r="I58" i="26"/>
  <c r="J15" i="26"/>
  <c r="I53" i="26"/>
  <c r="J19" i="26"/>
  <c r="I60" i="26"/>
  <c r="J23" i="26"/>
  <c r="J18" i="26"/>
  <c r="J22" i="26"/>
  <c r="I59" i="26"/>
  <c r="J16" i="26"/>
  <c r="H79" i="26"/>
  <c r="H79" i="30" s="1"/>
  <c r="I51" i="26"/>
  <c r="J20" i="26"/>
  <c r="F39" i="41" l="1"/>
  <c r="F41" i="41" s="1"/>
  <c r="E54" i="41"/>
  <c r="F39" i="40"/>
  <c r="F41" i="40" s="1"/>
  <c r="E54" i="40"/>
  <c r="J14" i="30"/>
  <c r="F52" i="26"/>
  <c r="F52" i="30" s="1"/>
  <c r="J28" i="30"/>
  <c r="H78" i="26"/>
  <c r="H78" i="30" s="1"/>
  <c r="J68" i="30"/>
  <c r="H81" i="26"/>
  <c r="H81" i="30" s="1"/>
  <c r="J59" i="26"/>
  <c r="J16" i="30"/>
  <c r="I60" i="30"/>
  <c r="J40" i="26"/>
  <c r="I58" i="30"/>
  <c r="J60" i="26"/>
  <c r="J23" i="30"/>
  <c r="I59" i="30"/>
  <c r="J58" i="26"/>
  <c r="J15" i="30"/>
  <c r="I40" i="30"/>
  <c r="I53" i="30"/>
  <c r="H47" i="30"/>
  <c r="I47" i="26"/>
  <c r="J53" i="26"/>
  <c r="J19" i="30"/>
  <c r="I36" i="26"/>
  <c r="H75" i="26"/>
  <c r="H75" i="30" s="1"/>
  <c r="H66" i="30"/>
  <c r="G61" i="30"/>
  <c r="I56" i="26"/>
  <c r="I35" i="30"/>
  <c r="J35" i="26"/>
  <c r="J34" i="30"/>
  <c r="H36" i="30"/>
  <c r="I51" i="30"/>
  <c r="H56" i="30"/>
  <c r="H80" i="26"/>
  <c r="H80" i="30" s="1"/>
  <c r="H61" i="26"/>
  <c r="G74" i="26"/>
  <c r="G74" i="30" s="1"/>
  <c r="G67" i="30"/>
  <c r="H57" i="30"/>
  <c r="I77" i="26"/>
  <c r="I77" i="30" s="1"/>
  <c r="I49" i="30"/>
  <c r="J49" i="26"/>
  <c r="I57" i="26"/>
  <c r="J51" i="26"/>
  <c r="I50" i="26"/>
  <c r="H67" i="26"/>
  <c r="I66" i="26"/>
  <c r="I79" i="26"/>
  <c r="I79" i="30" s="1"/>
  <c r="F42" i="41" l="1"/>
  <c r="F43" i="41"/>
  <c r="F42" i="40"/>
  <c r="F43" i="40" s="1"/>
  <c r="G52" i="26"/>
  <c r="G52" i="30" s="1"/>
  <c r="I36" i="30"/>
  <c r="J60" i="30"/>
  <c r="J58" i="30"/>
  <c r="J40" i="30"/>
  <c r="J59" i="30"/>
  <c r="J53" i="30"/>
  <c r="I47" i="30"/>
  <c r="J47" i="26"/>
  <c r="J57" i="26"/>
  <c r="J50" i="26"/>
  <c r="J36" i="26"/>
  <c r="J77" i="26"/>
  <c r="J77" i="30" s="1"/>
  <c r="J49" i="30"/>
  <c r="J79" i="26"/>
  <c r="J79" i="30" s="1"/>
  <c r="J51" i="30"/>
  <c r="I50" i="30"/>
  <c r="I75" i="26"/>
  <c r="I75" i="30" s="1"/>
  <c r="I66" i="30"/>
  <c r="H74" i="26"/>
  <c r="H74" i="30" s="1"/>
  <c r="H67" i="30"/>
  <c r="I81" i="26"/>
  <c r="I81" i="30" s="1"/>
  <c r="I57" i="30"/>
  <c r="J56" i="26"/>
  <c r="J35" i="30"/>
  <c r="I80" i="26"/>
  <c r="I80" i="30" s="1"/>
  <c r="I56" i="30"/>
  <c r="H61" i="30"/>
  <c r="I61" i="26"/>
  <c r="I67" i="26"/>
  <c r="I78" i="26"/>
  <c r="I78" i="30" s="1"/>
  <c r="J66" i="26"/>
  <c r="F69" i="41" l="1"/>
  <c r="F62" i="41"/>
  <c r="F69" i="40"/>
  <c r="F62" i="40" s="1"/>
  <c r="H52" i="26"/>
  <c r="J57" i="30"/>
  <c r="J47" i="30"/>
  <c r="J81" i="26"/>
  <c r="J81" i="30" s="1"/>
  <c r="J36" i="30"/>
  <c r="J50" i="30"/>
  <c r="J61" i="26"/>
  <c r="J78" i="26"/>
  <c r="J78" i="30" s="1"/>
  <c r="I61" i="30"/>
  <c r="I74" i="26"/>
  <c r="I74" i="30" s="1"/>
  <c r="I67" i="30"/>
  <c r="J75" i="26"/>
  <c r="J75" i="30" s="1"/>
  <c r="J66" i="30"/>
  <c r="J80" i="26"/>
  <c r="J80" i="30" s="1"/>
  <c r="J56" i="30"/>
  <c r="H52" i="30"/>
  <c r="J67" i="26"/>
  <c r="I52" i="26"/>
  <c r="F63" i="41" l="1"/>
  <c r="F48" i="41" s="1"/>
  <c r="F63" i="40"/>
  <c r="F48" i="40" s="1"/>
  <c r="J61" i="30"/>
  <c r="J74" i="26"/>
  <c r="J74" i="30" s="1"/>
  <c r="J67" i="30"/>
  <c r="J52" i="26"/>
  <c r="I52" i="30"/>
  <c r="G39" i="41" l="1"/>
  <c r="G41" i="41" s="1"/>
  <c r="F54" i="41"/>
  <c r="G39" i="40"/>
  <c r="G41" i="40" s="1"/>
  <c r="F54" i="40"/>
  <c r="J52" i="30"/>
  <c r="G42" i="41" l="1"/>
  <c r="G43" i="41" s="1"/>
  <c r="G42" i="40"/>
  <c r="G43" i="40" s="1"/>
  <c r="R6" i="13"/>
  <c r="R7" i="13"/>
  <c r="R8" i="13"/>
  <c r="S12" i="13" s="1"/>
  <c r="R9" i="13"/>
  <c r="R14" i="13"/>
  <c r="R5" i="11"/>
  <c r="R6" i="11"/>
  <c r="R7" i="11"/>
  <c r="R8" i="11"/>
  <c r="R9" i="11"/>
  <c r="R10" i="11"/>
  <c r="R11" i="11"/>
  <c r="R12" i="11"/>
  <c r="R13" i="11"/>
  <c r="R25" i="11" s="1"/>
  <c r="R14" i="11"/>
  <c r="R18" i="11" s="1"/>
  <c r="R15" i="11"/>
  <c r="R16" i="11"/>
  <c r="R19" i="11" s="1"/>
  <c r="R5" i="10"/>
  <c r="R6" i="10"/>
  <c r="R7" i="10"/>
  <c r="R8" i="10"/>
  <c r="R9" i="10"/>
  <c r="R10" i="10"/>
  <c r="R11" i="10"/>
  <c r="R5" i="9"/>
  <c r="R7" i="9"/>
  <c r="S13" i="9" s="1"/>
  <c r="R8" i="9"/>
  <c r="S15" i="9" s="1"/>
  <c r="S19" i="9" s="1"/>
  <c r="R9" i="9"/>
  <c r="S16" i="9" s="1"/>
  <c r="S20" i="9" s="1"/>
  <c r="R10" i="9"/>
  <c r="S17" i="9" s="1"/>
  <c r="S21" i="9" s="1"/>
  <c r="R45" i="5"/>
  <c r="R46" i="5"/>
  <c r="R47" i="5"/>
  <c r="R48" i="5"/>
  <c r="R49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8" i="3"/>
  <c r="R20" i="5"/>
  <c r="Q38" i="3"/>
  <c r="R4" i="19"/>
  <c r="R5" i="19"/>
  <c r="R6" i="19"/>
  <c r="R4" i="7"/>
  <c r="R5" i="7"/>
  <c r="R6" i="7"/>
  <c r="R7" i="7"/>
  <c r="R8" i="7"/>
  <c r="R9" i="7"/>
  <c r="R10" i="7"/>
  <c r="R11" i="7"/>
  <c r="R12" i="7"/>
  <c r="R13" i="7"/>
  <c r="R14" i="7"/>
  <c r="R15" i="7"/>
  <c r="R18" i="7"/>
  <c r="G69" i="41" l="1"/>
  <c r="G62" i="41" s="1"/>
  <c r="G69" i="40"/>
  <c r="G62" i="40"/>
  <c r="R30" i="11"/>
  <c r="R43" i="5"/>
  <c r="R40" i="5"/>
  <c r="R42" i="5"/>
  <c r="S16" i="13"/>
  <c r="S15" i="13"/>
  <c r="R16" i="10"/>
  <c r="S23" i="9"/>
  <c r="R41" i="5"/>
  <c r="R24" i="11"/>
  <c r="D9" i="26"/>
  <c r="R14" i="10"/>
  <c r="R23" i="11"/>
  <c r="R29" i="11"/>
  <c r="R22" i="11"/>
  <c r="R26" i="11"/>
  <c r="R27" i="11"/>
  <c r="R28" i="11"/>
  <c r="R17" i="10"/>
  <c r="R15" i="10"/>
  <c r="Q6" i="7"/>
  <c r="Q7" i="1"/>
  <c r="Q8" i="7" s="1"/>
  <c r="Q48" i="5"/>
  <c r="Q45" i="5"/>
  <c r="Q49" i="5"/>
  <c r="Q46" i="5"/>
  <c r="Q47" i="5"/>
  <c r="Q10" i="1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C49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C48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C47" i="5"/>
  <c r="C46" i="5"/>
  <c r="C45" i="5"/>
  <c r="Q5" i="10"/>
  <c r="Q6" i="10"/>
  <c r="Q10" i="10"/>
  <c r="Q6" i="13"/>
  <c r="Q15" i="13" s="1"/>
  <c r="Q9" i="13"/>
  <c r="P9" i="13"/>
  <c r="Q8" i="13"/>
  <c r="Q16" i="13" s="1"/>
  <c r="P8" i="13"/>
  <c r="Q5" i="11"/>
  <c r="Q6" i="11"/>
  <c r="Q7" i="11"/>
  <c r="Q8" i="11"/>
  <c r="Q9" i="11"/>
  <c r="Q10" i="11"/>
  <c r="Q11" i="11"/>
  <c r="Q12" i="11"/>
  <c r="Q18" i="11" s="1"/>
  <c r="Q13" i="11"/>
  <c r="Q16" i="11"/>
  <c r="Q14" i="11"/>
  <c r="Q15" i="11"/>
  <c r="Q7" i="10"/>
  <c r="Q8" i="10"/>
  <c r="Q9" i="10"/>
  <c r="Q14" i="10" s="1"/>
  <c r="Q11" i="10"/>
  <c r="Q17" i="10" s="1"/>
  <c r="Q15" i="10"/>
  <c r="Q5" i="9"/>
  <c r="P7" i="9"/>
  <c r="Q7" i="9"/>
  <c r="R13" i="9" s="1"/>
  <c r="Q6" i="9"/>
  <c r="Q8" i="9"/>
  <c r="R15" i="9" s="1"/>
  <c r="R19" i="9" s="1"/>
  <c r="Q9" i="9"/>
  <c r="R16" i="9" s="1"/>
  <c r="R20" i="9" s="1"/>
  <c r="Q10" i="9"/>
  <c r="R17" i="9" s="1"/>
  <c r="R21" i="9" s="1"/>
  <c r="P10" i="9"/>
  <c r="P9" i="9"/>
  <c r="P16" i="9" s="1"/>
  <c r="P20" i="9" s="1"/>
  <c r="Q6" i="5"/>
  <c r="Q40" i="5" s="1"/>
  <c r="Q7" i="5"/>
  <c r="Q15" i="5"/>
  <c r="Q8" i="5"/>
  <c r="Q41" i="5" s="1"/>
  <c r="Q11" i="5"/>
  <c r="Q27" i="5"/>
  <c r="Q28" i="5"/>
  <c r="Q29" i="5"/>
  <c r="Q17" i="5"/>
  <c r="Q18" i="5"/>
  <c r="Q43" i="5" s="1"/>
  <c r="Q4" i="5"/>
  <c r="Q5" i="5"/>
  <c r="Q9" i="5"/>
  <c r="Q10" i="5"/>
  <c r="Q12" i="5"/>
  <c r="Q13" i="5"/>
  <c r="Q14" i="5"/>
  <c r="Q16" i="5"/>
  <c r="Q19" i="5"/>
  <c r="Q20" i="5"/>
  <c r="Q21" i="5"/>
  <c r="Q22" i="5"/>
  <c r="Q23" i="5"/>
  <c r="Q24" i="5"/>
  <c r="Q25" i="5"/>
  <c r="Q26" i="5"/>
  <c r="Q30" i="5"/>
  <c r="Q31" i="5"/>
  <c r="Q32" i="5"/>
  <c r="Q33" i="5"/>
  <c r="Q34" i="5"/>
  <c r="Q35" i="5"/>
  <c r="Q36" i="5"/>
  <c r="Q5" i="19"/>
  <c r="Q6" i="19"/>
  <c r="Q7" i="19"/>
  <c r="Q4" i="19"/>
  <c r="Q18" i="7"/>
  <c r="Q5" i="7"/>
  <c r="R17" i="7" s="1"/>
  <c r="P5" i="7"/>
  <c r="Q7" i="7"/>
  <c r="Q9" i="7"/>
  <c r="Q10" i="7"/>
  <c r="Q11" i="7"/>
  <c r="Q12" i="7"/>
  <c r="Q14" i="7"/>
  <c r="Q19" i="7"/>
  <c r="Q4" i="7"/>
  <c r="Q22" i="11"/>
  <c r="P8" i="9"/>
  <c r="P5" i="11"/>
  <c r="P6" i="11"/>
  <c r="P7" i="11"/>
  <c r="P6" i="13"/>
  <c r="P15" i="13" s="1"/>
  <c r="O9" i="13"/>
  <c r="O16" i="13" s="1"/>
  <c r="P7" i="13"/>
  <c r="O8" i="13"/>
  <c r="P12" i="13" s="1"/>
  <c r="P8" i="11"/>
  <c r="P9" i="11"/>
  <c r="P10" i="11"/>
  <c r="P11" i="11"/>
  <c r="P12" i="11"/>
  <c r="P13" i="11"/>
  <c r="P25" i="11"/>
  <c r="P14" i="11"/>
  <c r="P18" i="11" s="1"/>
  <c r="P26" i="11" s="1"/>
  <c r="P15" i="11"/>
  <c r="P16" i="11"/>
  <c r="P19" i="11" s="1"/>
  <c r="P5" i="10"/>
  <c r="P6" i="10"/>
  <c r="P7" i="10"/>
  <c r="P8" i="10"/>
  <c r="P9" i="10"/>
  <c r="P15" i="10" s="1"/>
  <c r="P10" i="10"/>
  <c r="P11" i="10"/>
  <c r="P5" i="9"/>
  <c r="P13" i="9" s="1"/>
  <c r="O7" i="9"/>
  <c r="P6" i="9"/>
  <c r="O9" i="9"/>
  <c r="O10" i="9"/>
  <c r="P6" i="5"/>
  <c r="P40" i="5" s="1"/>
  <c r="P7" i="5"/>
  <c r="P15" i="5"/>
  <c r="P8" i="5"/>
  <c r="P11" i="5"/>
  <c r="P41" i="5" s="1"/>
  <c r="P27" i="5"/>
  <c r="P28" i="5"/>
  <c r="P29" i="5"/>
  <c r="P42" i="5"/>
  <c r="P17" i="5"/>
  <c r="P43" i="5" s="1"/>
  <c r="P18" i="5"/>
  <c r="P4" i="5"/>
  <c r="P5" i="5"/>
  <c r="P9" i="5"/>
  <c r="P10" i="5"/>
  <c r="P12" i="5"/>
  <c r="P13" i="5"/>
  <c r="P14" i="5"/>
  <c r="P16" i="5"/>
  <c r="P19" i="5"/>
  <c r="P20" i="5"/>
  <c r="P21" i="5"/>
  <c r="P22" i="5"/>
  <c r="P23" i="5"/>
  <c r="P24" i="5"/>
  <c r="P25" i="5"/>
  <c r="P26" i="5"/>
  <c r="P30" i="5"/>
  <c r="P31" i="5"/>
  <c r="P32" i="5"/>
  <c r="P33" i="5"/>
  <c r="P34" i="5"/>
  <c r="P35" i="5"/>
  <c r="P36" i="5"/>
  <c r="P5" i="19"/>
  <c r="P6" i="19"/>
  <c r="P7" i="19"/>
  <c r="P8" i="19"/>
  <c r="P6" i="7"/>
  <c r="P7" i="7"/>
  <c r="P8" i="7"/>
  <c r="P9" i="7"/>
  <c r="P10" i="7"/>
  <c r="P11" i="7"/>
  <c r="P12" i="7"/>
  <c r="P13" i="7"/>
  <c r="P14" i="7"/>
  <c r="P15" i="7"/>
  <c r="P18" i="7"/>
  <c r="P19" i="7"/>
  <c r="P20" i="7"/>
  <c r="P38" i="3"/>
  <c r="P16" i="10"/>
  <c r="O8" i="9"/>
  <c r="O6" i="13"/>
  <c r="O14" i="13" s="1"/>
  <c r="O7" i="13"/>
  <c r="N8" i="13"/>
  <c r="N9" i="13"/>
  <c r="O5" i="11"/>
  <c r="O22" i="11" s="1"/>
  <c r="O6" i="11"/>
  <c r="O7" i="11"/>
  <c r="O8" i="11"/>
  <c r="O9" i="11"/>
  <c r="O10" i="11"/>
  <c r="O11" i="11"/>
  <c r="O12" i="11"/>
  <c r="O14" i="11"/>
  <c r="O13" i="11"/>
  <c r="O27" i="11" s="1"/>
  <c r="O16" i="11"/>
  <c r="O15" i="11"/>
  <c r="O19" i="11"/>
  <c r="O5" i="10"/>
  <c r="O16" i="10" s="1"/>
  <c r="O6" i="10"/>
  <c r="O7" i="10"/>
  <c r="O8" i="10"/>
  <c r="O9" i="10"/>
  <c r="O14" i="10" s="1"/>
  <c r="O10" i="10"/>
  <c r="O11" i="10"/>
  <c r="O17" i="10"/>
  <c r="O17" i="5"/>
  <c r="O43" i="5" s="1"/>
  <c r="O18" i="5"/>
  <c r="O6" i="5"/>
  <c r="O40" i="5" s="1"/>
  <c r="O7" i="5"/>
  <c r="O15" i="5"/>
  <c r="O8" i="5"/>
  <c r="O41" i="5" s="1"/>
  <c r="O11" i="5"/>
  <c r="O27" i="5"/>
  <c r="O42" i="5" s="1"/>
  <c r="O28" i="5"/>
  <c r="O29" i="5"/>
  <c r="O4" i="5"/>
  <c r="O5" i="5"/>
  <c r="O9" i="5"/>
  <c r="O10" i="5"/>
  <c r="O12" i="5"/>
  <c r="O13" i="5"/>
  <c r="O14" i="5"/>
  <c r="O16" i="5"/>
  <c r="O19" i="5"/>
  <c r="O20" i="5"/>
  <c r="O21" i="5"/>
  <c r="O22" i="5"/>
  <c r="O23" i="5"/>
  <c r="O24" i="5"/>
  <c r="O25" i="5"/>
  <c r="O26" i="5"/>
  <c r="O30" i="5"/>
  <c r="O31" i="5"/>
  <c r="O32" i="5"/>
  <c r="O33" i="5"/>
  <c r="O34" i="5"/>
  <c r="O35" i="5"/>
  <c r="O36" i="5"/>
  <c r="O5" i="19"/>
  <c r="O6" i="19"/>
  <c r="O7" i="19"/>
  <c r="O8" i="19"/>
  <c r="O5" i="7"/>
  <c r="O17" i="7" s="1"/>
  <c r="O6" i="7"/>
  <c r="O7" i="7"/>
  <c r="O8" i="7"/>
  <c r="O9" i="7"/>
  <c r="O10" i="7"/>
  <c r="O11" i="7"/>
  <c r="O12" i="7"/>
  <c r="O13" i="7"/>
  <c r="O14" i="7"/>
  <c r="O15" i="7"/>
  <c r="N5" i="7"/>
  <c r="M5" i="7"/>
  <c r="O18" i="7"/>
  <c r="O19" i="7"/>
  <c r="O20" i="7"/>
  <c r="O5" i="9"/>
  <c r="N8" i="9"/>
  <c r="O6" i="9"/>
  <c r="N9" i="9"/>
  <c r="N7" i="9"/>
  <c r="N10" i="9"/>
  <c r="O38" i="3"/>
  <c r="E7" i="13"/>
  <c r="E8" i="13"/>
  <c r="D8" i="13"/>
  <c r="E6" i="13"/>
  <c r="E15" i="13" s="1"/>
  <c r="E9" i="13"/>
  <c r="D9" i="13"/>
  <c r="F7" i="13"/>
  <c r="F12" i="13" s="1"/>
  <c r="F8" i="13"/>
  <c r="F6" i="13"/>
  <c r="F9" i="13"/>
  <c r="F15" i="13" s="1"/>
  <c r="G7" i="13"/>
  <c r="G14" i="13" s="1"/>
  <c r="G17" i="13" s="1"/>
  <c r="G6" i="13"/>
  <c r="G9" i="13"/>
  <c r="G15" i="13"/>
  <c r="G8" i="13"/>
  <c r="G16" i="13"/>
  <c r="H7" i="13"/>
  <c r="H8" i="13"/>
  <c r="H6" i="13"/>
  <c r="H9" i="13"/>
  <c r="H16" i="13" s="1"/>
  <c r="I7" i="13"/>
  <c r="I14" i="13" s="1"/>
  <c r="I6" i="13"/>
  <c r="I9" i="13"/>
  <c r="I15" i="13" s="1"/>
  <c r="I8" i="13"/>
  <c r="J7" i="13"/>
  <c r="J6" i="13"/>
  <c r="J14" i="13" s="1"/>
  <c r="J9" i="13"/>
  <c r="J8" i="13"/>
  <c r="K7" i="13"/>
  <c r="K6" i="13"/>
  <c r="K9" i="13"/>
  <c r="K8" i="13"/>
  <c r="L7" i="13"/>
  <c r="L12" i="13" s="1"/>
  <c r="L8" i="13"/>
  <c r="L6" i="13"/>
  <c r="L9" i="13"/>
  <c r="M7" i="13"/>
  <c r="M6" i="13"/>
  <c r="M9" i="13"/>
  <c r="N15" i="13" s="1"/>
  <c r="M8" i="13"/>
  <c r="N7" i="13"/>
  <c r="N14" i="13" s="1"/>
  <c r="N6" i="13"/>
  <c r="D7" i="13"/>
  <c r="D6" i="13"/>
  <c r="C9" i="13"/>
  <c r="C8" i="13"/>
  <c r="E6" i="9"/>
  <c r="D9" i="9"/>
  <c r="E9" i="9"/>
  <c r="D10" i="9"/>
  <c r="E10" i="9"/>
  <c r="F6" i="9"/>
  <c r="F10" i="9"/>
  <c r="G6" i="9"/>
  <c r="G10" i="9"/>
  <c r="H6" i="9"/>
  <c r="H10" i="9"/>
  <c r="I6" i="9"/>
  <c r="I10" i="9"/>
  <c r="J6" i="9"/>
  <c r="J10" i="9"/>
  <c r="J17" i="9" s="1"/>
  <c r="J21" i="9" s="1"/>
  <c r="K6" i="9"/>
  <c r="K10" i="9"/>
  <c r="L6" i="9"/>
  <c r="L10" i="9"/>
  <c r="M6" i="9"/>
  <c r="M10" i="9"/>
  <c r="N6" i="9"/>
  <c r="N17" i="9" s="1"/>
  <c r="N21" i="9" s="1"/>
  <c r="M9" i="9"/>
  <c r="D6" i="9"/>
  <c r="C10" i="9"/>
  <c r="C9" i="9"/>
  <c r="N13" i="11"/>
  <c r="N25" i="11" s="1"/>
  <c r="N12" i="11"/>
  <c r="N5" i="5"/>
  <c r="N6" i="5"/>
  <c r="N7" i="5"/>
  <c r="N8" i="5"/>
  <c r="N41" i="5" s="1"/>
  <c r="N9" i="5"/>
  <c r="N10" i="5"/>
  <c r="N11" i="5"/>
  <c r="N12" i="5"/>
  <c r="N13" i="5"/>
  <c r="N14" i="5"/>
  <c r="N15" i="5"/>
  <c r="N16" i="5"/>
  <c r="N17" i="5"/>
  <c r="N18" i="5"/>
  <c r="N43" i="5" s="1"/>
  <c r="N19" i="5"/>
  <c r="N20" i="5"/>
  <c r="N21" i="5"/>
  <c r="N22" i="5"/>
  <c r="N23" i="5"/>
  <c r="N24" i="5"/>
  <c r="N25" i="5"/>
  <c r="N26" i="5"/>
  <c r="N27" i="5"/>
  <c r="N28" i="5"/>
  <c r="N42" i="5" s="1"/>
  <c r="N29" i="5"/>
  <c r="N31" i="5"/>
  <c r="N32" i="5"/>
  <c r="N33" i="5"/>
  <c r="N34" i="5"/>
  <c r="N35" i="5"/>
  <c r="N36" i="5"/>
  <c r="D4" i="5"/>
  <c r="E4" i="5"/>
  <c r="F4" i="5"/>
  <c r="G4" i="5"/>
  <c r="H4" i="5"/>
  <c r="I4" i="5"/>
  <c r="J4" i="5"/>
  <c r="K4" i="5"/>
  <c r="L4" i="5"/>
  <c r="M4" i="5"/>
  <c r="N4" i="5"/>
  <c r="C4" i="5"/>
  <c r="N5" i="19"/>
  <c r="N6" i="19"/>
  <c r="N7" i="19"/>
  <c r="N8" i="19"/>
  <c r="N5" i="9"/>
  <c r="M7" i="9"/>
  <c r="M8" i="9"/>
  <c r="N5" i="11"/>
  <c r="N6" i="11"/>
  <c r="N7" i="11"/>
  <c r="N8" i="11"/>
  <c r="N9" i="11"/>
  <c r="N10" i="11"/>
  <c r="N11" i="11"/>
  <c r="N23" i="11" s="1"/>
  <c r="N14" i="11"/>
  <c r="N18" i="11"/>
  <c r="N15" i="11"/>
  <c r="N19" i="11" s="1"/>
  <c r="N16" i="11"/>
  <c r="N5" i="10"/>
  <c r="N6" i="10"/>
  <c r="N16" i="10" s="1"/>
  <c r="N7" i="10"/>
  <c r="N8" i="10"/>
  <c r="N9" i="10"/>
  <c r="N14" i="10" s="1"/>
  <c r="N10" i="10"/>
  <c r="N17" i="10" s="1"/>
  <c r="N11" i="10"/>
  <c r="N30" i="3"/>
  <c r="N30" i="5" s="1"/>
  <c r="N38" i="3"/>
  <c r="M6" i="7"/>
  <c r="M17" i="7"/>
  <c r="N6" i="7"/>
  <c r="N7" i="7"/>
  <c r="N8" i="7"/>
  <c r="N9" i="7"/>
  <c r="N10" i="7"/>
  <c r="N11" i="7"/>
  <c r="N12" i="7"/>
  <c r="N13" i="7"/>
  <c r="N14" i="7"/>
  <c r="N15" i="7"/>
  <c r="N18" i="7"/>
  <c r="N19" i="7"/>
  <c r="N20" i="7"/>
  <c r="M6" i="12"/>
  <c r="M16" i="12" s="1"/>
  <c r="M7" i="12"/>
  <c r="M10" i="12"/>
  <c r="M9" i="12"/>
  <c r="M13" i="11"/>
  <c r="M38" i="3"/>
  <c r="M6" i="11"/>
  <c r="M30" i="11" s="1"/>
  <c r="M5" i="11"/>
  <c r="M7" i="11"/>
  <c r="M8" i="11"/>
  <c r="M9" i="11"/>
  <c r="M10" i="11"/>
  <c r="M11" i="11"/>
  <c r="M12" i="11"/>
  <c r="M18" i="11" s="1"/>
  <c r="M8" i="12" s="1"/>
  <c r="M14" i="11"/>
  <c r="M15" i="11"/>
  <c r="M16" i="11"/>
  <c r="M27" i="11"/>
  <c r="M19" i="11"/>
  <c r="M5" i="10"/>
  <c r="M6" i="10"/>
  <c r="M16" i="10" s="1"/>
  <c r="M10" i="10"/>
  <c r="M7" i="10"/>
  <c r="M8" i="10"/>
  <c r="M9" i="10"/>
  <c r="M15" i="10"/>
  <c r="M11" i="10"/>
  <c r="M14" i="10"/>
  <c r="L9" i="9"/>
  <c r="M5" i="9"/>
  <c r="L7" i="9"/>
  <c r="L8" i="9"/>
  <c r="M41" i="4"/>
  <c r="M29" i="5"/>
  <c r="M5" i="5"/>
  <c r="M6" i="5"/>
  <c r="M40" i="5" s="1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30" i="5"/>
  <c r="M31" i="5"/>
  <c r="M32" i="5"/>
  <c r="M33" i="5"/>
  <c r="M34" i="5"/>
  <c r="M35" i="5"/>
  <c r="M36" i="5"/>
  <c r="M5" i="19"/>
  <c r="M6" i="19"/>
  <c r="M7" i="19"/>
  <c r="M8" i="19"/>
  <c r="M7" i="7"/>
  <c r="M8" i="7"/>
  <c r="M9" i="7"/>
  <c r="M10" i="7"/>
  <c r="M11" i="7"/>
  <c r="M12" i="7"/>
  <c r="M13" i="7"/>
  <c r="M14" i="7"/>
  <c r="M15" i="7"/>
  <c r="M18" i="7"/>
  <c r="M19" i="7"/>
  <c r="M20" i="7"/>
  <c r="D7" i="12"/>
  <c r="D10" i="12"/>
  <c r="E7" i="12"/>
  <c r="E10" i="12"/>
  <c r="F7" i="12"/>
  <c r="F10" i="12"/>
  <c r="G7" i="12"/>
  <c r="G10" i="12"/>
  <c r="H7" i="12"/>
  <c r="H10" i="12"/>
  <c r="I7" i="12"/>
  <c r="I10" i="12"/>
  <c r="J7" i="12"/>
  <c r="J10" i="12"/>
  <c r="K7" i="12"/>
  <c r="K10" i="12"/>
  <c r="L7" i="12"/>
  <c r="L13" i="12" s="1"/>
  <c r="L14" i="12" s="1"/>
  <c r="L10" i="12"/>
  <c r="C7" i="12"/>
  <c r="C10" i="12"/>
  <c r="B10" i="12"/>
  <c r="E5" i="9"/>
  <c r="D7" i="9"/>
  <c r="E7" i="9"/>
  <c r="F5" i="9"/>
  <c r="F15" i="9" s="1"/>
  <c r="F19" i="9" s="1"/>
  <c r="F7" i="9"/>
  <c r="G5" i="9"/>
  <c r="G15" i="9" s="1"/>
  <c r="G19" i="9" s="1"/>
  <c r="F8" i="9"/>
  <c r="G8" i="9"/>
  <c r="F9" i="9"/>
  <c r="G16" i="9" s="1"/>
  <c r="G20" i="9" s="1"/>
  <c r="G9" i="9"/>
  <c r="G7" i="9"/>
  <c r="H5" i="9"/>
  <c r="H7" i="9"/>
  <c r="I5" i="9"/>
  <c r="I7" i="9"/>
  <c r="J5" i="9"/>
  <c r="J7" i="9"/>
  <c r="K5" i="9"/>
  <c r="K7" i="9"/>
  <c r="L5" i="9"/>
  <c r="D5" i="9"/>
  <c r="C8" i="9"/>
  <c r="D8" i="9"/>
  <c r="C7" i="9"/>
  <c r="J12" i="11"/>
  <c r="J13" i="11"/>
  <c r="C5" i="10"/>
  <c r="C6" i="10"/>
  <c r="C10" i="10"/>
  <c r="E5" i="19"/>
  <c r="F5" i="19"/>
  <c r="G5" i="19"/>
  <c r="H5" i="19"/>
  <c r="I5" i="19"/>
  <c r="J5" i="19"/>
  <c r="K5" i="19"/>
  <c r="L5" i="19"/>
  <c r="D5" i="19"/>
  <c r="L8" i="19"/>
  <c r="K8" i="19"/>
  <c r="J8" i="19"/>
  <c r="I8" i="19"/>
  <c r="H8" i="19"/>
  <c r="G8" i="19"/>
  <c r="F8" i="19"/>
  <c r="E8" i="19"/>
  <c r="D8" i="19"/>
  <c r="L7" i="19"/>
  <c r="K7" i="19"/>
  <c r="J7" i="19"/>
  <c r="I7" i="19"/>
  <c r="H7" i="19"/>
  <c r="G7" i="19"/>
  <c r="F7" i="19"/>
  <c r="E7" i="19"/>
  <c r="D7" i="19"/>
  <c r="L6" i="19"/>
  <c r="K6" i="19"/>
  <c r="J6" i="19"/>
  <c r="I6" i="19"/>
  <c r="H6" i="19"/>
  <c r="G6" i="19"/>
  <c r="F6" i="19"/>
  <c r="E6" i="19"/>
  <c r="D6" i="19"/>
  <c r="E18" i="7"/>
  <c r="F18" i="7"/>
  <c r="G18" i="7"/>
  <c r="H18" i="7"/>
  <c r="I18" i="7"/>
  <c r="J18" i="7"/>
  <c r="K18" i="7"/>
  <c r="L18" i="7"/>
  <c r="E19" i="7"/>
  <c r="F19" i="7"/>
  <c r="G19" i="7"/>
  <c r="H19" i="7"/>
  <c r="I19" i="7"/>
  <c r="J19" i="7"/>
  <c r="K19" i="7"/>
  <c r="L19" i="7"/>
  <c r="E20" i="7"/>
  <c r="F20" i="7"/>
  <c r="G20" i="7"/>
  <c r="H20" i="7"/>
  <c r="I20" i="7"/>
  <c r="J20" i="7"/>
  <c r="K20" i="7"/>
  <c r="L20" i="7"/>
  <c r="D20" i="7"/>
  <c r="D19" i="7"/>
  <c r="D18" i="7"/>
  <c r="J5" i="11"/>
  <c r="J22" i="11" s="1"/>
  <c r="J6" i="11"/>
  <c r="J29" i="11" s="1"/>
  <c r="J14" i="11"/>
  <c r="C9" i="10"/>
  <c r="C15" i="10" s="1"/>
  <c r="C7" i="13"/>
  <c r="C6" i="13"/>
  <c r="D9" i="12"/>
  <c r="D16" i="12" s="1"/>
  <c r="D12" i="11"/>
  <c r="D18" i="11" s="1"/>
  <c r="D8" i="12" s="1"/>
  <c r="D15" i="12" s="1"/>
  <c r="D14" i="11"/>
  <c r="E9" i="12"/>
  <c r="E12" i="11"/>
  <c r="E18" i="11" s="1"/>
  <c r="E8" i="12" s="1"/>
  <c r="E15" i="12" s="1"/>
  <c r="E14" i="11"/>
  <c r="F9" i="12"/>
  <c r="G9" i="12"/>
  <c r="H9" i="12"/>
  <c r="I9" i="12"/>
  <c r="J9" i="12"/>
  <c r="K9" i="12"/>
  <c r="K6" i="12"/>
  <c r="K16" i="12"/>
  <c r="L9" i="12"/>
  <c r="L6" i="12"/>
  <c r="L16" i="12" s="1"/>
  <c r="F12" i="11"/>
  <c r="F18" i="11" s="1"/>
  <c r="F8" i="12" s="1"/>
  <c r="F15" i="12" s="1"/>
  <c r="F14" i="11"/>
  <c r="G12" i="11"/>
  <c r="G14" i="11"/>
  <c r="H12" i="11"/>
  <c r="H18" i="11" s="1"/>
  <c r="H8" i="12" s="1"/>
  <c r="H14" i="11"/>
  <c r="I12" i="11"/>
  <c r="I18" i="11" s="1"/>
  <c r="I8" i="12" s="1"/>
  <c r="I14" i="11"/>
  <c r="K12" i="11"/>
  <c r="K25" i="11" s="1"/>
  <c r="K13" i="11"/>
  <c r="K16" i="11"/>
  <c r="K14" i="11"/>
  <c r="L12" i="11"/>
  <c r="L18" i="11" s="1"/>
  <c r="L14" i="11"/>
  <c r="D6" i="12"/>
  <c r="E6" i="12"/>
  <c r="F6" i="12"/>
  <c r="G6" i="12"/>
  <c r="G16" i="12" s="1"/>
  <c r="H6" i="12"/>
  <c r="I6" i="12"/>
  <c r="J6" i="12"/>
  <c r="C6" i="12"/>
  <c r="C16" i="12" s="1"/>
  <c r="C9" i="12"/>
  <c r="C12" i="11"/>
  <c r="C18" i="11" s="1"/>
  <c r="C8" i="12" s="1"/>
  <c r="C14" i="11"/>
  <c r="K5" i="11"/>
  <c r="K24" i="11" s="1"/>
  <c r="K6" i="11"/>
  <c r="K10" i="11"/>
  <c r="L5" i="11"/>
  <c r="L23" i="11" s="1"/>
  <c r="L6" i="11"/>
  <c r="L16" i="11"/>
  <c r="L19" i="11" s="1"/>
  <c r="K15" i="11"/>
  <c r="L15" i="11"/>
  <c r="J16" i="11"/>
  <c r="J15" i="11"/>
  <c r="J19" i="11"/>
  <c r="L13" i="11"/>
  <c r="L27" i="11" s="1"/>
  <c r="D16" i="11"/>
  <c r="E16" i="11"/>
  <c r="F16" i="11"/>
  <c r="G16" i="11"/>
  <c r="G19" i="11" s="1"/>
  <c r="G15" i="11"/>
  <c r="H16" i="11"/>
  <c r="I16" i="11"/>
  <c r="C16" i="11"/>
  <c r="D8" i="11"/>
  <c r="E8" i="11"/>
  <c r="F8" i="11"/>
  <c r="G8" i="11"/>
  <c r="H8" i="11"/>
  <c r="I8" i="11"/>
  <c r="J8" i="11"/>
  <c r="K8" i="11"/>
  <c r="L8" i="11"/>
  <c r="D9" i="11"/>
  <c r="E9" i="11"/>
  <c r="F9" i="11"/>
  <c r="G9" i="11"/>
  <c r="H9" i="11"/>
  <c r="I9" i="11"/>
  <c r="J9" i="11"/>
  <c r="K9" i="11"/>
  <c r="L9" i="11"/>
  <c r="C9" i="11"/>
  <c r="C8" i="11"/>
  <c r="D5" i="11"/>
  <c r="D6" i="11"/>
  <c r="D22" i="11" s="1"/>
  <c r="D10" i="11"/>
  <c r="D7" i="11"/>
  <c r="E5" i="11"/>
  <c r="E24" i="11" s="1"/>
  <c r="F5" i="11"/>
  <c r="F6" i="11"/>
  <c r="F7" i="11"/>
  <c r="G5" i="11"/>
  <c r="H5" i="11"/>
  <c r="H6" i="11"/>
  <c r="H10" i="11"/>
  <c r="I5" i="11"/>
  <c r="L7" i="11"/>
  <c r="E6" i="11"/>
  <c r="E22" i="11" s="1"/>
  <c r="G6" i="11"/>
  <c r="I6" i="11"/>
  <c r="I10" i="11"/>
  <c r="K7" i="11"/>
  <c r="E7" i="11"/>
  <c r="G7" i="11"/>
  <c r="H7" i="11"/>
  <c r="I7" i="11"/>
  <c r="J7" i="11"/>
  <c r="E10" i="11"/>
  <c r="F10" i="11"/>
  <c r="G10" i="11"/>
  <c r="J10" i="11"/>
  <c r="L10" i="11"/>
  <c r="D11" i="11"/>
  <c r="E11" i="11"/>
  <c r="F11" i="11"/>
  <c r="G11" i="11"/>
  <c r="G23" i="11" s="1"/>
  <c r="H11" i="11"/>
  <c r="I11" i="11"/>
  <c r="J11" i="11"/>
  <c r="K11" i="11"/>
  <c r="L11" i="11"/>
  <c r="D13" i="11"/>
  <c r="E13" i="11"/>
  <c r="F13" i="11"/>
  <c r="G13" i="11"/>
  <c r="H13" i="11"/>
  <c r="I13" i="11"/>
  <c r="D15" i="11"/>
  <c r="D19" i="11" s="1"/>
  <c r="E15" i="11"/>
  <c r="E19" i="11" s="1"/>
  <c r="F15" i="11"/>
  <c r="H15" i="11"/>
  <c r="I15" i="11"/>
  <c r="I19" i="11"/>
  <c r="C15" i="11"/>
  <c r="C19" i="11" s="1"/>
  <c r="C13" i="11"/>
  <c r="C11" i="11"/>
  <c r="C10" i="11"/>
  <c r="C5" i="11"/>
  <c r="C24" i="11" s="1"/>
  <c r="C6" i="11"/>
  <c r="C7" i="11"/>
  <c r="C22" i="11"/>
  <c r="H19" i="11"/>
  <c r="D10" i="10"/>
  <c r="D11" i="10"/>
  <c r="E10" i="10"/>
  <c r="E17" i="10" s="1"/>
  <c r="E11" i="10"/>
  <c r="F10" i="10"/>
  <c r="F9" i="10"/>
  <c r="F15" i="10" s="1"/>
  <c r="F11" i="10"/>
  <c r="G10" i="10"/>
  <c r="G11" i="10"/>
  <c r="G17" i="10"/>
  <c r="H10" i="10"/>
  <c r="H17" i="10" s="1"/>
  <c r="H5" i="10"/>
  <c r="H16" i="10" s="1"/>
  <c r="H6" i="10"/>
  <c r="H11" i="10"/>
  <c r="I10" i="10"/>
  <c r="I9" i="10"/>
  <c r="I8" i="10"/>
  <c r="I11" i="10"/>
  <c r="J10" i="10"/>
  <c r="J11" i="10"/>
  <c r="J17" i="10"/>
  <c r="K10" i="10"/>
  <c r="K11" i="10"/>
  <c r="K17" i="10" s="1"/>
  <c r="L10" i="10"/>
  <c r="L17" i="10" s="1"/>
  <c r="L11" i="10"/>
  <c r="C11" i="10"/>
  <c r="D5" i="10"/>
  <c r="D6" i="10"/>
  <c r="E5" i="10"/>
  <c r="E6" i="10"/>
  <c r="F5" i="10"/>
  <c r="F6" i="10"/>
  <c r="F16" i="10" s="1"/>
  <c r="G5" i="10"/>
  <c r="G6" i="10"/>
  <c r="I5" i="10"/>
  <c r="I6" i="10"/>
  <c r="I16" i="10" s="1"/>
  <c r="J5" i="10"/>
  <c r="J16" i="10" s="1"/>
  <c r="J6" i="10"/>
  <c r="K5" i="10"/>
  <c r="K6" i="10"/>
  <c r="L5" i="10"/>
  <c r="L6" i="10"/>
  <c r="D9" i="10"/>
  <c r="D14" i="10" s="1"/>
  <c r="D8" i="10"/>
  <c r="E9" i="10"/>
  <c r="E14" i="10" s="1"/>
  <c r="E8" i="10"/>
  <c r="F8" i="10"/>
  <c r="G9" i="10"/>
  <c r="G14" i="10" s="1"/>
  <c r="G8" i="10"/>
  <c r="H9" i="10"/>
  <c r="H14" i="10" s="1"/>
  <c r="H8" i="10"/>
  <c r="J9" i="10"/>
  <c r="J8" i="10"/>
  <c r="J15" i="10" s="1"/>
  <c r="K9" i="10"/>
  <c r="K8" i="10"/>
  <c r="L9" i="10"/>
  <c r="L14" i="10" s="1"/>
  <c r="L8" i="10"/>
  <c r="C8" i="10"/>
  <c r="J14" i="10"/>
  <c r="D7" i="10"/>
  <c r="E7" i="10"/>
  <c r="F7" i="10"/>
  <c r="G7" i="10"/>
  <c r="H7" i="10"/>
  <c r="I7" i="10"/>
  <c r="J7" i="10"/>
  <c r="K7" i="10"/>
  <c r="L7" i="10"/>
  <c r="C7" i="10"/>
  <c r="D38" i="3"/>
  <c r="E38" i="3"/>
  <c r="F38" i="3"/>
  <c r="G38" i="3"/>
  <c r="H38" i="3"/>
  <c r="I38" i="3"/>
  <c r="J38" i="3"/>
  <c r="K38" i="3"/>
  <c r="L38" i="3"/>
  <c r="C38" i="3"/>
  <c r="C6" i="9"/>
  <c r="E8" i="9"/>
  <c r="K8" i="9"/>
  <c r="H8" i="9"/>
  <c r="I8" i="9"/>
  <c r="J8" i="9"/>
  <c r="H9" i="9"/>
  <c r="I9" i="9"/>
  <c r="J16" i="9" s="1"/>
  <c r="J20" i="9" s="1"/>
  <c r="J9" i="9"/>
  <c r="K9" i="9"/>
  <c r="C5" i="9"/>
  <c r="E17" i="7"/>
  <c r="F17" i="7"/>
  <c r="G17" i="7"/>
  <c r="H17" i="7"/>
  <c r="I17" i="7"/>
  <c r="J17" i="7"/>
  <c r="K17" i="7"/>
  <c r="L17" i="7"/>
  <c r="D17" i="7"/>
  <c r="D6" i="7"/>
  <c r="E6" i="7"/>
  <c r="F6" i="7"/>
  <c r="G6" i="7"/>
  <c r="H6" i="7"/>
  <c r="I6" i="7"/>
  <c r="J6" i="7"/>
  <c r="K6" i="7"/>
  <c r="L6" i="7"/>
  <c r="D7" i="7"/>
  <c r="E7" i="7"/>
  <c r="F7" i="7"/>
  <c r="G7" i="7"/>
  <c r="H7" i="7"/>
  <c r="I7" i="7"/>
  <c r="J7" i="7"/>
  <c r="K7" i="7"/>
  <c r="L7" i="7"/>
  <c r="D8" i="7"/>
  <c r="E8" i="7"/>
  <c r="F8" i="7"/>
  <c r="G8" i="7"/>
  <c r="H8" i="7"/>
  <c r="I8" i="7"/>
  <c r="J8" i="7"/>
  <c r="K8" i="7"/>
  <c r="L8" i="7"/>
  <c r="D9" i="7"/>
  <c r="E9" i="7"/>
  <c r="F9" i="7"/>
  <c r="G9" i="7"/>
  <c r="H9" i="7"/>
  <c r="I9" i="7"/>
  <c r="J9" i="7"/>
  <c r="K9" i="7"/>
  <c r="L9" i="7"/>
  <c r="D10" i="7"/>
  <c r="E10" i="7"/>
  <c r="F10" i="7"/>
  <c r="G10" i="7"/>
  <c r="H10" i="7"/>
  <c r="I10" i="7"/>
  <c r="J10" i="7"/>
  <c r="K10" i="7"/>
  <c r="L10" i="7"/>
  <c r="D11" i="7"/>
  <c r="E11" i="7"/>
  <c r="F11" i="7"/>
  <c r="G11" i="7"/>
  <c r="H11" i="7"/>
  <c r="I11" i="7"/>
  <c r="J11" i="7"/>
  <c r="K11" i="7"/>
  <c r="L11" i="7"/>
  <c r="D12" i="7"/>
  <c r="E12" i="7"/>
  <c r="F12" i="7"/>
  <c r="G12" i="7"/>
  <c r="H12" i="7"/>
  <c r="I12" i="7"/>
  <c r="J12" i="7"/>
  <c r="K12" i="7"/>
  <c r="L12" i="7"/>
  <c r="D13" i="7"/>
  <c r="E13" i="7"/>
  <c r="F13" i="7"/>
  <c r="G13" i="7"/>
  <c r="H13" i="7"/>
  <c r="I13" i="7"/>
  <c r="J13" i="7"/>
  <c r="K13" i="7"/>
  <c r="L13" i="7"/>
  <c r="D14" i="7"/>
  <c r="E14" i="7"/>
  <c r="F14" i="7"/>
  <c r="G14" i="7"/>
  <c r="H14" i="7"/>
  <c r="I14" i="7"/>
  <c r="J14" i="7"/>
  <c r="K14" i="7"/>
  <c r="L14" i="7"/>
  <c r="D15" i="7"/>
  <c r="E15" i="7"/>
  <c r="F15" i="7"/>
  <c r="G15" i="7"/>
  <c r="H15" i="7"/>
  <c r="I15" i="7"/>
  <c r="J15" i="7"/>
  <c r="K15" i="7"/>
  <c r="L15" i="7"/>
  <c r="C15" i="7"/>
  <c r="C13" i="7"/>
  <c r="C11" i="7"/>
  <c r="C7" i="7"/>
  <c r="C8" i="7"/>
  <c r="C9" i="7"/>
  <c r="C10" i="7"/>
  <c r="C12" i="7"/>
  <c r="C14" i="7"/>
  <c r="C6" i="7"/>
  <c r="G8" i="5"/>
  <c r="G11" i="5"/>
  <c r="G41" i="5" s="1"/>
  <c r="J8" i="5"/>
  <c r="J41" i="5" s="1"/>
  <c r="J11" i="5"/>
  <c r="I27" i="5"/>
  <c r="I28" i="5"/>
  <c r="I29" i="5"/>
  <c r="D6" i="5"/>
  <c r="D7" i="5"/>
  <c r="D15" i="5"/>
  <c r="E6" i="5"/>
  <c r="E40" i="5" s="1"/>
  <c r="E7" i="5"/>
  <c r="E15" i="5"/>
  <c r="F6" i="5"/>
  <c r="F40" i="5" s="1"/>
  <c r="F7" i="5"/>
  <c r="F15" i="5"/>
  <c r="G6" i="5"/>
  <c r="G7" i="5"/>
  <c r="G15" i="5"/>
  <c r="G40" i="5" s="1"/>
  <c r="H6" i="5"/>
  <c r="H7" i="5"/>
  <c r="H40" i="5" s="1"/>
  <c r="H15" i="5"/>
  <c r="I6" i="5"/>
  <c r="I40" i="5" s="1"/>
  <c r="I7" i="5"/>
  <c r="I15" i="5"/>
  <c r="J6" i="5"/>
  <c r="J40" i="5" s="1"/>
  <c r="J7" i="5"/>
  <c r="J15" i="5"/>
  <c r="K6" i="5"/>
  <c r="K40" i="5" s="1"/>
  <c r="K7" i="5"/>
  <c r="K15" i="5"/>
  <c r="L6" i="5"/>
  <c r="L7" i="5"/>
  <c r="L15" i="5"/>
  <c r="D8" i="5"/>
  <c r="D11" i="5"/>
  <c r="E8" i="5"/>
  <c r="E11" i="5"/>
  <c r="F8" i="5"/>
  <c r="F11" i="5"/>
  <c r="H8" i="5"/>
  <c r="H11" i="5"/>
  <c r="I8" i="5"/>
  <c r="I11" i="5"/>
  <c r="K8" i="5"/>
  <c r="K11" i="5"/>
  <c r="K41" i="5" s="1"/>
  <c r="L8" i="5"/>
  <c r="L11" i="5"/>
  <c r="L41" i="5" s="1"/>
  <c r="D9" i="5"/>
  <c r="E9" i="5"/>
  <c r="F9" i="5"/>
  <c r="G9" i="5"/>
  <c r="H9" i="5"/>
  <c r="I9" i="5"/>
  <c r="J9" i="5"/>
  <c r="K9" i="5"/>
  <c r="L9" i="5"/>
  <c r="D10" i="5"/>
  <c r="E10" i="5"/>
  <c r="F10" i="5"/>
  <c r="G10" i="5"/>
  <c r="H10" i="5"/>
  <c r="I10" i="5"/>
  <c r="J10" i="5"/>
  <c r="K10" i="5"/>
  <c r="L10" i="5"/>
  <c r="D12" i="5"/>
  <c r="E12" i="5"/>
  <c r="F12" i="5"/>
  <c r="G12" i="5"/>
  <c r="H12" i="5"/>
  <c r="I12" i="5"/>
  <c r="J12" i="5"/>
  <c r="K12" i="5"/>
  <c r="L12" i="5"/>
  <c r="D13" i="5"/>
  <c r="E13" i="5"/>
  <c r="F13" i="5"/>
  <c r="G13" i="5"/>
  <c r="H13" i="5"/>
  <c r="I13" i="5"/>
  <c r="J13" i="5"/>
  <c r="K13" i="5"/>
  <c r="L13" i="5"/>
  <c r="D14" i="5"/>
  <c r="E14" i="5"/>
  <c r="F14" i="5"/>
  <c r="G14" i="5"/>
  <c r="H14" i="5"/>
  <c r="I14" i="5"/>
  <c r="J14" i="5"/>
  <c r="K14" i="5"/>
  <c r="L14" i="5"/>
  <c r="D16" i="5"/>
  <c r="E16" i="5"/>
  <c r="F16" i="5"/>
  <c r="G16" i="5"/>
  <c r="H16" i="5"/>
  <c r="I16" i="5"/>
  <c r="J16" i="5"/>
  <c r="K16" i="5"/>
  <c r="L16" i="5"/>
  <c r="D17" i="5"/>
  <c r="D43" i="5" s="1"/>
  <c r="D18" i="5"/>
  <c r="E17" i="5"/>
  <c r="E18" i="5"/>
  <c r="E43" i="5" s="1"/>
  <c r="F17" i="5"/>
  <c r="F18" i="5"/>
  <c r="F43" i="5"/>
  <c r="G17" i="5"/>
  <c r="G18" i="5"/>
  <c r="H17" i="5"/>
  <c r="H18" i="5"/>
  <c r="H43" i="5" s="1"/>
  <c r="I17" i="5"/>
  <c r="I18" i="5"/>
  <c r="J17" i="5"/>
  <c r="J18" i="5"/>
  <c r="K17" i="5"/>
  <c r="K18" i="5"/>
  <c r="L17" i="5"/>
  <c r="L43" i="5" s="1"/>
  <c r="L18" i="5"/>
  <c r="D19" i="5"/>
  <c r="E19" i="5"/>
  <c r="F19" i="5"/>
  <c r="G19" i="5"/>
  <c r="H19" i="5"/>
  <c r="I19" i="5"/>
  <c r="J19" i="5"/>
  <c r="K19" i="5"/>
  <c r="L19" i="5"/>
  <c r="D20" i="5"/>
  <c r="E20" i="5"/>
  <c r="F20" i="5"/>
  <c r="G20" i="5"/>
  <c r="H20" i="5"/>
  <c r="I20" i="5"/>
  <c r="J20" i="5"/>
  <c r="K20" i="5"/>
  <c r="L20" i="5"/>
  <c r="D21" i="5"/>
  <c r="E21" i="5"/>
  <c r="F21" i="5"/>
  <c r="G21" i="5"/>
  <c r="H21" i="5"/>
  <c r="I21" i="5"/>
  <c r="J21" i="5"/>
  <c r="K21" i="5"/>
  <c r="L21" i="5"/>
  <c r="D22" i="5"/>
  <c r="E22" i="5"/>
  <c r="F22" i="5"/>
  <c r="G22" i="5"/>
  <c r="H22" i="5"/>
  <c r="I22" i="5"/>
  <c r="J22" i="5"/>
  <c r="K22" i="5"/>
  <c r="L22" i="5"/>
  <c r="D23" i="5"/>
  <c r="E23" i="5"/>
  <c r="F23" i="5"/>
  <c r="G23" i="5"/>
  <c r="H23" i="5"/>
  <c r="I23" i="5"/>
  <c r="J23" i="5"/>
  <c r="K23" i="5"/>
  <c r="L23" i="5"/>
  <c r="D24" i="5"/>
  <c r="E24" i="5"/>
  <c r="F24" i="5"/>
  <c r="G24" i="5"/>
  <c r="H24" i="5"/>
  <c r="I24" i="5"/>
  <c r="J24" i="5"/>
  <c r="K24" i="5"/>
  <c r="L24" i="5"/>
  <c r="D25" i="5"/>
  <c r="E25" i="5"/>
  <c r="F25" i="5"/>
  <c r="G25" i="5"/>
  <c r="H25" i="5"/>
  <c r="I25" i="5"/>
  <c r="J25" i="5"/>
  <c r="K25" i="5"/>
  <c r="L25" i="5"/>
  <c r="D26" i="5"/>
  <c r="E26" i="5"/>
  <c r="F26" i="5"/>
  <c r="G26" i="5"/>
  <c r="H26" i="5"/>
  <c r="I26" i="5"/>
  <c r="J26" i="5"/>
  <c r="K26" i="5"/>
  <c r="L26" i="5"/>
  <c r="D27" i="5"/>
  <c r="D28" i="5"/>
  <c r="D29" i="5"/>
  <c r="E27" i="5"/>
  <c r="E42" i="5" s="1"/>
  <c r="E28" i="5"/>
  <c r="E29" i="5"/>
  <c r="F27" i="5"/>
  <c r="F42" i="5" s="1"/>
  <c r="F28" i="5"/>
  <c r="F29" i="5"/>
  <c r="G27" i="5"/>
  <c r="G42" i="5" s="1"/>
  <c r="G28" i="5"/>
  <c r="G29" i="5"/>
  <c r="H27" i="5"/>
  <c r="J27" i="5"/>
  <c r="J28" i="5"/>
  <c r="J29" i="5"/>
  <c r="J42" i="5" s="1"/>
  <c r="K27" i="5"/>
  <c r="K28" i="5"/>
  <c r="K29" i="5"/>
  <c r="L27" i="5"/>
  <c r="L42" i="5" s="1"/>
  <c r="L28" i="5"/>
  <c r="L29" i="5"/>
  <c r="H28" i="5"/>
  <c r="H29" i="5"/>
  <c r="D30" i="5"/>
  <c r="E30" i="5"/>
  <c r="F30" i="5"/>
  <c r="G30" i="5"/>
  <c r="H30" i="5"/>
  <c r="I30" i="5"/>
  <c r="J30" i="5"/>
  <c r="K30" i="5"/>
  <c r="L30" i="5"/>
  <c r="D31" i="5"/>
  <c r="E31" i="5"/>
  <c r="F31" i="5"/>
  <c r="G31" i="5"/>
  <c r="H31" i="5"/>
  <c r="I31" i="5"/>
  <c r="J31" i="5"/>
  <c r="K31" i="5"/>
  <c r="L31" i="5"/>
  <c r="D32" i="5"/>
  <c r="E32" i="5"/>
  <c r="F32" i="5"/>
  <c r="G32" i="5"/>
  <c r="H32" i="5"/>
  <c r="I32" i="5"/>
  <c r="J32" i="5"/>
  <c r="K32" i="5"/>
  <c r="L32" i="5"/>
  <c r="D33" i="5"/>
  <c r="E33" i="5"/>
  <c r="F33" i="5"/>
  <c r="G33" i="5"/>
  <c r="H33" i="5"/>
  <c r="I33" i="5"/>
  <c r="J33" i="5"/>
  <c r="K33" i="5"/>
  <c r="L33" i="5"/>
  <c r="D34" i="5"/>
  <c r="E34" i="5"/>
  <c r="F34" i="5"/>
  <c r="G34" i="5"/>
  <c r="H34" i="5"/>
  <c r="I34" i="5"/>
  <c r="J34" i="5"/>
  <c r="K34" i="5"/>
  <c r="L34" i="5"/>
  <c r="D35" i="5"/>
  <c r="E35" i="5"/>
  <c r="F35" i="5"/>
  <c r="G35" i="5"/>
  <c r="H35" i="5"/>
  <c r="I35" i="5"/>
  <c r="J35" i="5"/>
  <c r="K35" i="5"/>
  <c r="L35" i="5"/>
  <c r="D36" i="5"/>
  <c r="E36" i="5"/>
  <c r="F36" i="5"/>
  <c r="G36" i="5"/>
  <c r="H36" i="5"/>
  <c r="I36" i="5"/>
  <c r="J36" i="5"/>
  <c r="K36" i="5"/>
  <c r="L36" i="5"/>
  <c r="D5" i="5"/>
  <c r="E5" i="5"/>
  <c r="F5" i="5"/>
  <c r="G5" i="5"/>
  <c r="H5" i="5"/>
  <c r="I5" i="5"/>
  <c r="J5" i="5"/>
  <c r="K5" i="5"/>
  <c r="L5" i="5"/>
  <c r="C5" i="5"/>
  <c r="C6" i="5"/>
  <c r="C7" i="5"/>
  <c r="C15" i="5"/>
  <c r="C8" i="5"/>
  <c r="C41" i="5" s="1"/>
  <c r="C11" i="5"/>
  <c r="C9" i="5"/>
  <c r="C10" i="5"/>
  <c r="C12" i="5"/>
  <c r="C13" i="5"/>
  <c r="C14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D12" i="13"/>
  <c r="I16" i="12"/>
  <c r="J25" i="11"/>
  <c r="J43" i="5"/>
  <c r="L24" i="11"/>
  <c r="L29" i="11"/>
  <c r="I12" i="13"/>
  <c r="F16" i="9"/>
  <c r="F20" i="9" s="1"/>
  <c r="I23" i="11"/>
  <c r="C23" i="11"/>
  <c r="C43" i="5"/>
  <c r="H42" i="5"/>
  <c r="K43" i="5"/>
  <c r="M43" i="5"/>
  <c r="I42" i="5"/>
  <c r="M41" i="5"/>
  <c r="I43" i="5"/>
  <c r="E41" i="5"/>
  <c r="D42" i="5"/>
  <c r="F41" i="5"/>
  <c r="K18" i="11"/>
  <c r="K26" i="11" s="1"/>
  <c r="G18" i="11"/>
  <c r="G8" i="12"/>
  <c r="G15" i="12" s="1"/>
  <c r="J27" i="11"/>
  <c r="I17" i="10"/>
  <c r="M17" i="10"/>
  <c r="K16" i="10"/>
  <c r="K23" i="11"/>
  <c r="J18" i="11"/>
  <c r="E17" i="9"/>
  <c r="E21" i="9"/>
  <c r="C17" i="10"/>
  <c r="G22" i="11"/>
  <c r="F24" i="11"/>
  <c r="M42" i="5"/>
  <c r="N40" i="5"/>
  <c r="I16" i="13"/>
  <c r="N27" i="11"/>
  <c r="K14" i="10"/>
  <c r="C16" i="10"/>
  <c r="K15" i="10"/>
  <c r="I22" i="11"/>
  <c r="F19" i="11"/>
  <c r="K19" i="11"/>
  <c r="M12" i="13"/>
  <c r="G12" i="13"/>
  <c r="H13" i="12"/>
  <c r="H14" i="12" s="1"/>
  <c r="K22" i="11"/>
  <c r="N12" i="13"/>
  <c r="N22" i="11"/>
  <c r="J8" i="12"/>
  <c r="J15" i="12" s="1"/>
  <c r="J26" i="11"/>
  <c r="E16" i="12"/>
  <c r="J12" i="13"/>
  <c r="G63" i="41" l="1"/>
  <c r="G48" i="41" s="1"/>
  <c r="G63" i="40"/>
  <c r="G48" i="40" s="1"/>
  <c r="D9" i="30"/>
  <c r="D23" i="11"/>
  <c r="E23" i="11"/>
  <c r="K42" i="5"/>
  <c r="G43" i="5"/>
  <c r="G16" i="10"/>
  <c r="J23" i="11"/>
  <c r="D24" i="11"/>
  <c r="N29" i="11"/>
  <c r="M17" i="9"/>
  <c r="M21" i="9" s="1"/>
  <c r="J16" i="13"/>
  <c r="F16" i="13"/>
  <c r="J24" i="11"/>
  <c r="D40" i="5"/>
  <c r="D13" i="9"/>
  <c r="E13" i="9"/>
  <c r="E16" i="10"/>
  <c r="N15" i="10"/>
  <c r="L17" i="9"/>
  <c r="L21" i="9" s="1"/>
  <c r="D15" i="13"/>
  <c r="O12" i="13"/>
  <c r="Q23" i="11"/>
  <c r="O30" i="11"/>
  <c r="M16" i="13"/>
  <c r="N13" i="9"/>
  <c r="K17" i="9"/>
  <c r="K21" i="9" s="1"/>
  <c r="N16" i="13"/>
  <c r="D16" i="13"/>
  <c r="O29" i="11"/>
  <c r="P17" i="10"/>
  <c r="I41" i="5"/>
  <c r="J15" i="9"/>
  <c r="J19" i="9" s="1"/>
  <c r="P14" i="10"/>
  <c r="C14" i="10"/>
  <c r="H41" i="5"/>
  <c r="I15" i="9"/>
  <c r="I19" i="9" s="1"/>
  <c r="I24" i="11"/>
  <c r="I13" i="9"/>
  <c r="P16" i="13"/>
  <c r="Q24" i="11"/>
  <c r="I17" i="13"/>
  <c r="L16" i="10"/>
  <c r="J30" i="11"/>
  <c r="J28" i="11"/>
  <c r="F14" i="10"/>
  <c r="H17" i="9"/>
  <c r="H21" i="9" s="1"/>
  <c r="M15" i="13"/>
  <c r="H15" i="13"/>
  <c r="H22" i="11"/>
  <c r="H13" i="9"/>
  <c r="K29" i="11"/>
  <c r="G24" i="11"/>
  <c r="P24" i="11"/>
  <c r="Q13" i="9"/>
  <c r="K30" i="11"/>
  <c r="N30" i="11"/>
  <c r="G17" i="9"/>
  <c r="G21" i="9" s="1"/>
  <c r="O23" i="11"/>
  <c r="S17" i="13"/>
  <c r="J16" i="12"/>
  <c r="O24" i="11"/>
  <c r="D41" i="5"/>
  <c r="D17" i="10"/>
  <c r="F22" i="11"/>
  <c r="L30" i="11"/>
  <c r="M13" i="9"/>
  <c r="O16" i="9"/>
  <c r="O20" i="9" s="1"/>
  <c r="P29" i="11"/>
  <c r="L15" i="10"/>
  <c r="D15" i="10"/>
  <c r="N24" i="11"/>
  <c r="D17" i="9"/>
  <c r="D21" i="9" s="1"/>
  <c r="O13" i="9"/>
  <c r="Q42" i="5"/>
  <c r="Q16" i="10"/>
  <c r="F17" i="10"/>
  <c r="L22" i="11"/>
  <c r="C42" i="5"/>
  <c r="C40" i="5"/>
  <c r="L40" i="5"/>
  <c r="I15" i="10"/>
  <c r="F16" i="12"/>
  <c r="O15" i="10"/>
  <c r="D35" i="26"/>
  <c r="D8" i="30"/>
  <c r="I13" i="12"/>
  <c r="I14" i="12" s="1"/>
  <c r="M14" i="13"/>
  <c r="E14" i="13"/>
  <c r="H14" i="13"/>
  <c r="O15" i="13"/>
  <c r="O17" i="13" s="1"/>
  <c r="K12" i="13"/>
  <c r="L15" i="13"/>
  <c r="P15" i="9"/>
  <c r="P19" i="9" s="1"/>
  <c r="I15" i="12"/>
  <c r="M25" i="11"/>
  <c r="H15" i="12"/>
  <c r="L13" i="9"/>
  <c r="M13" i="12"/>
  <c r="M14" i="12" s="1"/>
  <c r="L25" i="11"/>
  <c r="N17" i="7"/>
  <c r="P17" i="7"/>
  <c r="K13" i="12"/>
  <c r="K14" i="12" s="1"/>
  <c r="J13" i="12"/>
  <c r="J14" i="12" s="1"/>
  <c r="M26" i="11"/>
  <c r="N17" i="13"/>
  <c r="K27" i="11"/>
  <c r="I17" i="9"/>
  <c r="I21" i="9" s="1"/>
  <c r="K16" i="9"/>
  <c r="K20" i="9" s="1"/>
  <c r="G13" i="12"/>
  <c r="G14" i="12" s="1"/>
  <c r="N26" i="11"/>
  <c r="Q12" i="1"/>
  <c r="F13" i="12"/>
  <c r="F14" i="12" s="1"/>
  <c r="D16" i="9"/>
  <c r="D20" i="9" s="1"/>
  <c r="E12" i="13"/>
  <c r="Q17" i="7"/>
  <c r="E13" i="12"/>
  <c r="E14" i="12" s="1"/>
  <c r="C13" i="12"/>
  <c r="C14" i="12" s="1"/>
  <c r="E16" i="9"/>
  <c r="E20" i="9" s="1"/>
  <c r="K14" i="13"/>
  <c r="M15" i="12"/>
  <c r="L16" i="9"/>
  <c r="L20" i="9" s="1"/>
  <c r="H16" i="12"/>
  <c r="O25" i="11"/>
  <c r="D13" i="12"/>
  <c r="D14" i="12" s="1"/>
  <c r="L26" i="11"/>
  <c r="L28" i="11"/>
  <c r="L8" i="12"/>
  <c r="L15" i="12" s="1"/>
  <c r="M17" i="13"/>
  <c r="H17" i="13"/>
  <c r="C15" i="12"/>
  <c r="P28" i="11"/>
  <c r="H12" i="13"/>
  <c r="O18" i="11"/>
  <c r="P27" i="11"/>
  <c r="P22" i="11"/>
  <c r="M24" i="11"/>
  <c r="K28" i="11"/>
  <c r="F23" i="11"/>
  <c r="L15" i="9"/>
  <c r="L19" i="9" s="1"/>
  <c r="K15" i="13"/>
  <c r="E16" i="13"/>
  <c r="E17" i="13" s="1"/>
  <c r="P30" i="11"/>
  <c r="Q16" i="9"/>
  <c r="Q20" i="9" s="1"/>
  <c r="Q25" i="11"/>
  <c r="R12" i="13"/>
  <c r="I14" i="10"/>
  <c r="E15" i="10"/>
  <c r="D16" i="10"/>
  <c r="J13" i="9"/>
  <c r="P14" i="13"/>
  <c r="R23" i="9"/>
  <c r="M29" i="11"/>
  <c r="H16" i="9"/>
  <c r="H20" i="9" s="1"/>
  <c r="F17" i="9"/>
  <c r="F21" i="9" s="1"/>
  <c r="F23" i="9" s="1"/>
  <c r="R19" i="7"/>
  <c r="R7" i="19"/>
  <c r="E15" i="9"/>
  <c r="E19" i="9" s="1"/>
  <c r="E23" i="9" s="1"/>
  <c r="Q17" i="9"/>
  <c r="Q21" i="9" s="1"/>
  <c r="K13" i="9"/>
  <c r="P17" i="9"/>
  <c r="P21" i="9" s="1"/>
  <c r="K16" i="13"/>
  <c r="J15" i="13"/>
  <c r="J17" i="13" s="1"/>
  <c r="P23" i="11"/>
  <c r="M23" i="11"/>
  <c r="M28" i="11"/>
  <c r="N28" i="11"/>
  <c r="R15" i="13"/>
  <c r="R16" i="13"/>
  <c r="H15" i="10"/>
  <c r="F14" i="13"/>
  <c r="F17" i="13" s="1"/>
  <c r="E9" i="26"/>
  <c r="D37" i="26"/>
  <c r="G15" i="10"/>
  <c r="L16" i="13"/>
  <c r="H15" i="9"/>
  <c r="H19" i="9" s="1"/>
  <c r="L14" i="13"/>
  <c r="L17" i="13" s="1"/>
  <c r="H24" i="11"/>
  <c r="M22" i="11"/>
  <c r="O17" i="9"/>
  <c r="O21" i="9" s="1"/>
  <c r="K8" i="12"/>
  <c r="K15" i="12" s="1"/>
  <c r="I16" i="9"/>
  <c r="I20" i="9" s="1"/>
  <c r="I23" i="9" s="1"/>
  <c r="D14" i="13"/>
  <c r="H23" i="11"/>
  <c r="J23" i="9"/>
  <c r="D15" i="9"/>
  <c r="D19" i="9" s="1"/>
  <c r="G23" i="9"/>
  <c r="N16" i="9"/>
  <c r="N20" i="9" s="1"/>
  <c r="Q15" i="9"/>
  <c r="Q19" i="9" s="1"/>
  <c r="M15" i="9"/>
  <c r="M19" i="9" s="1"/>
  <c r="N15" i="9"/>
  <c r="N19" i="9" s="1"/>
  <c r="K15" i="9"/>
  <c r="K19" i="9" s="1"/>
  <c r="O15" i="9"/>
  <c r="O19" i="9" s="1"/>
  <c r="F13" i="9"/>
  <c r="G13" i="9"/>
  <c r="M16" i="9"/>
  <c r="M20" i="9" s="1"/>
  <c r="Q26" i="11"/>
  <c r="Q27" i="11"/>
  <c r="Q19" i="11"/>
  <c r="Q30" i="11" s="1"/>
  <c r="Q28" i="11"/>
  <c r="Q29" i="11"/>
  <c r="H39" i="41" l="1"/>
  <c r="H41" i="41" s="1"/>
  <c r="G54" i="41"/>
  <c r="H39" i="40"/>
  <c r="H41" i="40" s="1"/>
  <c r="G54" i="40"/>
  <c r="E9" i="30"/>
  <c r="P17" i="13"/>
  <c r="Q23" i="9"/>
  <c r="D17" i="13"/>
  <c r="K17" i="13"/>
  <c r="P23" i="9"/>
  <c r="D57" i="26"/>
  <c r="D36" i="26"/>
  <c r="D38" i="26" s="1"/>
  <c r="D50" i="26"/>
  <c r="D56" i="26"/>
  <c r="D80" i="26" s="1"/>
  <c r="D80" i="30" s="1"/>
  <c r="D35" i="30"/>
  <c r="D37" i="30"/>
  <c r="D23" i="9"/>
  <c r="L23" i="9"/>
  <c r="O23" i="9"/>
  <c r="K23" i="9"/>
  <c r="H23" i="9"/>
  <c r="Q14" i="1"/>
  <c r="Q13" i="7"/>
  <c r="R17" i="13"/>
  <c r="O28" i="11"/>
  <c r="O26" i="11"/>
  <c r="F9" i="26"/>
  <c r="E37" i="26"/>
  <c r="N23" i="9"/>
  <c r="M23" i="9"/>
  <c r="H42" i="41" l="1"/>
  <c r="H43" i="41" s="1"/>
  <c r="H42" i="40"/>
  <c r="H43" i="40" s="1"/>
  <c r="F9" i="30"/>
  <c r="D61" i="26"/>
  <c r="E80" i="26"/>
  <c r="E80" i="30" s="1"/>
  <c r="D36" i="30"/>
  <c r="D50" i="30"/>
  <c r="E78" i="26"/>
  <c r="E78" i="30" s="1"/>
  <c r="D57" i="30"/>
  <c r="D81" i="26"/>
  <c r="D81" i="30" s="1"/>
  <c r="D56" i="30"/>
  <c r="D78" i="26"/>
  <c r="D78" i="30" s="1"/>
  <c r="E81" i="26"/>
  <c r="E81" i="30" s="1"/>
  <c r="D38" i="30"/>
  <c r="D61" i="30"/>
  <c r="E38" i="26"/>
  <c r="E37" i="30"/>
  <c r="Q15" i="7"/>
  <c r="Q8" i="19"/>
  <c r="Q7" i="13"/>
  <c r="Q20" i="7"/>
  <c r="R20" i="7"/>
  <c r="R8" i="19"/>
  <c r="G9" i="26"/>
  <c r="F37" i="26"/>
  <c r="D41" i="26"/>
  <c r="D73" i="26"/>
  <c r="H69" i="41" l="1"/>
  <c r="H62" i="41"/>
  <c r="H69" i="40"/>
  <c r="H62" i="40" s="1"/>
  <c r="G9" i="30"/>
  <c r="D82" i="26"/>
  <c r="D82" i="30" s="1"/>
  <c r="D73" i="30"/>
  <c r="D42" i="26"/>
  <c r="D41" i="30"/>
  <c r="F38" i="26"/>
  <c r="F37" i="30"/>
  <c r="E73" i="26"/>
  <c r="E38" i="30"/>
  <c r="Q14" i="13"/>
  <c r="Q17" i="13" s="1"/>
  <c r="Q12" i="13"/>
  <c r="H9" i="26"/>
  <c r="G37" i="26"/>
  <c r="H63" i="41" l="1"/>
  <c r="H48" i="41" s="1"/>
  <c r="H63" i="40"/>
  <c r="H48" i="40" s="1"/>
  <c r="H9" i="30"/>
  <c r="D84" i="26"/>
  <c r="D84" i="30" s="1"/>
  <c r="D43" i="26"/>
  <c r="D42" i="30"/>
  <c r="G38" i="26"/>
  <c r="G37" i="30"/>
  <c r="F73" i="26"/>
  <c r="F38" i="30"/>
  <c r="E73" i="30"/>
  <c r="E82" i="26"/>
  <c r="I9" i="26"/>
  <c r="H37" i="26"/>
  <c r="I39" i="41" l="1"/>
  <c r="I41" i="41" s="1"/>
  <c r="H54" i="41"/>
  <c r="I39" i="40"/>
  <c r="I41" i="40" s="1"/>
  <c r="H54" i="40"/>
  <c r="I9" i="30"/>
  <c r="D69" i="26"/>
  <c r="D43" i="30"/>
  <c r="H38" i="26"/>
  <c r="H37" i="30"/>
  <c r="F82" i="26"/>
  <c r="F73" i="30"/>
  <c r="G73" i="26"/>
  <c r="G38" i="30"/>
  <c r="E84" i="26"/>
  <c r="E84" i="30" s="1"/>
  <c r="E82" i="30"/>
  <c r="J9" i="26"/>
  <c r="I37" i="26"/>
  <c r="I42" i="41" l="1"/>
  <c r="I43" i="41" s="1"/>
  <c r="I42" i="40"/>
  <c r="I43" i="40"/>
  <c r="J37" i="26"/>
  <c r="J38" i="26" s="1"/>
  <c r="J9" i="30"/>
  <c r="D62" i="26"/>
  <c r="D69" i="30"/>
  <c r="I38" i="26"/>
  <c r="I37" i="30"/>
  <c r="G82" i="26"/>
  <c r="G73" i="30"/>
  <c r="F84" i="26"/>
  <c r="F84" i="30" s="1"/>
  <c r="F82" i="30"/>
  <c r="H73" i="26"/>
  <c r="H38" i="30"/>
  <c r="I69" i="41" l="1"/>
  <c r="I62" i="41"/>
  <c r="I69" i="40"/>
  <c r="I62" i="40" s="1"/>
  <c r="J37" i="30"/>
  <c r="C95" i="30"/>
  <c r="C90" i="30" s="1"/>
  <c r="D63" i="26"/>
  <c r="D62" i="30"/>
  <c r="J73" i="26"/>
  <c r="J38" i="30"/>
  <c r="I73" i="26"/>
  <c r="I38" i="30"/>
  <c r="H82" i="26"/>
  <c r="H73" i="30"/>
  <c r="G84" i="26"/>
  <c r="G84" i="30" s="1"/>
  <c r="G82" i="30"/>
  <c r="I63" i="41" l="1"/>
  <c r="I48" i="41" s="1"/>
  <c r="I63" i="40"/>
  <c r="I48" i="40" s="1"/>
  <c r="D48" i="26"/>
  <c r="D63" i="30"/>
  <c r="H84" i="26"/>
  <c r="H84" i="30" s="1"/>
  <c r="H82" i="30"/>
  <c r="I82" i="26"/>
  <c r="I73" i="30"/>
  <c r="J82" i="26"/>
  <c r="J73" i="30"/>
  <c r="J39" i="41" l="1"/>
  <c r="J41" i="41" s="1"/>
  <c r="I54" i="41"/>
  <c r="J39" i="40"/>
  <c r="J41" i="40" s="1"/>
  <c r="I54" i="40"/>
  <c r="E39" i="26"/>
  <c r="D54" i="26"/>
  <c r="D48" i="30"/>
  <c r="C87" i="30" s="1"/>
  <c r="J83" i="26"/>
  <c r="J82" i="30"/>
  <c r="I84" i="26"/>
  <c r="I84" i="30" s="1"/>
  <c r="I82" i="30"/>
  <c r="J42" i="41" l="1"/>
  <c r="J43" i="41" s="1"/>
  <c r="J42" i="40"/>
  <c r="J43" i="40" s="1"/>
  <c r="D54" i="30"/>
  <c r="E39" i="30"/>
  <c r="E41" i="26"/>
  <c r="J84" i="26"/>
  <c r="J83" i="30"/>
  <c r="J69" i="41" l="1"/>
  <c r="J62" i="41"/>
  <c r="J63" i="41" s="1"/>
  <c r="J48" i="41" s="1"/>
  <c r="J54" i="41" s="1"/>
  <c r="J69" i="40"/>
  <c r="J62" i="40"/>
  <c r="J63" i="40" s="1"/>
  <c r="J48" i="40" s="1"/>
  <c r="J54" i="40" s="1"/>
  <c r="E41" i="30"/>
  <c r="E42" i="26"/>
  <c r="C86" i="26"/>
  <c r="C89" i="26" s="1"/>
  <c r="C91" i="26" s="1"/>
  <c r="C5" i="25" s="1"/>
  <c r="J84" i="30"/>
  <c r="E43" i="26" l="1"/>
  <c r="E43" i="30" s="1"/>
  <c r="C89" i="30"/>
  <c r="C91" i="30" s="1"/>
  <c r="E42" i="30"/>
  <c r="E69" i="26" l="1"/>
  <c r="E62" i="26" s="1"/>
  <c r="E63" i="26" s="1"/>
  <c r="E62" i="30" l="1"/>
  <c r="E69" i="30"/>
  <c r="E48" i="26"/>
  <c r="E63" i="30"/>
  <c r="E48" i="30" l="1"/>
  <c r="F39" i="26"/>
  <c r="E54" i="26"/>
  <c r="E54" i="30" l="1"/>
  <c r="F41" i="26"/>
  <c r="F39" i="30"/>
  <c r="F41" i="30" l="1"/>
  <c r="F42" i="26"/>
  <c r="F43" i="26" l="1"/>
  <c r="F42" i="30"/>
  <c r="F69" i="26" l="1"/>
  <c r="F62" i="26" s="1"/>
  <c r="F43" i="30"/>
  <c r="F62" i="30" l="1"/>
  <c r="F69" i="30"/>
  <c r="F63" i="26"/>
  <c r="F48" i="26" s="1"/>
  <c r="F63" i="30" l="1"/>
  <c r="F48" i="30"/>
  <c r="F54" i="26"/>
  <c r="G39" i="26"/>
  <c r="G41" i="26" l="1"/>
  <c r="G39" i="30"/>
  <c r="F54" i="30"/>
  <c r="G41" i="30" l="1"/>
  <c r="G42" i="26"/>
  <c r="G42" i="30" l="1"/>
  <c r="G43" i="26"/>
  <c r="G69" i="26" l="1"/>
  <c r="G43" i="30"/>
  <c r="G62" i="26" l="1"/>
  <c r="G69" i="30"/>
  <c r="G63" i="26" l="1"/>
  <c r="G62" i="30"/>
  <c r="G48" i="26" l="1"/>
  <c r="G63" i="30"/>
  <c r="G48" i="30" l="1"/>
  <c r="G54" i="26"/>
  <c r="H39" i="26"/>
  <c r="H41" i="26" l="1"/>
  <c r="H39" i="30"/>
  <c r="G54" i="30"/>
  <c r="H42" i="26" l="1"/>
  <c r="H41" i="30"/>
  <c r="H43" i="26" l="1"/>
  <c r="H42" i="30"/>
  <c r="H69" i="26" l="1"/>
  <c r="H43" i="30"/>
  <c r="H62" i="26" l="1"/>
  <c r="H69" i="30"/>
  <c r="H63" i="26" l="1"/>
  <c r="H62" i="30"/>
  <c r="H48" i="26" l="1"/>
  <c r="H63" i="30"/>
  <c r="H48" i="30" l="1"/>
  <c r="I39" i="26"/>
  <c r="H54" i="26"/>
  <c r="H54" i="30" l="1"/>
  <c r="I39" i="30"/>
  <c r="I41" i="26"/>
  <c r="I42" i="26" l="1"/>
  <c r="I41" i="30"/>
  <c r="I42" i="30" l="1"/>
  <c r="I43" i="26"/>
  <c r="I69" i="26" l="1"/>
  <c r="I43" i="30"/>
  <c r="I62" i="26" l="1"/>
  <c r="I69" i="30"/>
  <c r="I63" i="26" l="1"/>
  <c r="I62" i="30"/>
  <c r="I48" i="26" l="1"/>
  <c r="I63" i="30"/>
  <c r="I48" i="30" l="1"/>
  <c r="J39" i="26"/>
  <c r="I54" i="26"/>
  <c r="I54" i="30" l="1"/>
  <c r="J39" i="30"/>
  <c r="J41" i="26"/>
  <c r="J42" i="26" l="1"/>
  <c r="J41" i="30"/>
  <c r="J43" i="26" l="1"/>
  <c r="J42" i="30"/>
  <c r="J69" i="26" l="1"/>
  <c r="J43" i="30"/>
  <c r="J62" i="26" l="1"/>
  <c r="J69" i="30"/>
  <c r="J63" i="26" l="1"/>
  <c r="J62" i="30"/>
  <c r="J48" i="26" l="1"/>
  <c r="J63" i="30"/>
  <c r="J54" i="26" l="1"/>
  <c r="J48" i="30"/>
  <c r="J54" i="30" l="1"/>
</calcChain>
</file>

<file path=xl/sharedStrings.xml><?xml version="1.0" encoding="utf-8"?>
<sst xmlns="http://schemas.openxmlformats.org/spreadsheetml/2006/main" count="1361" uniqueCount="375">
  <si>
    <t>Income Statement - As Reported</t>
  </si>
  <si>
    <t>Sep '15</t>
  </si>
  <si>
    <t>Sep '14</t>
  </si>
  <si>
    <t>Sep '13</t>
  </si>
  <si>
    <t>Sep '12</t>
  </si>
  <si>
    <t>Sep '11</t>
  </si>
  <si>
    <t>Sep '10</t>
  </si>
  <si>
    <t>Sep '09</t>
  </si>
  <si>
    <t>Sep '08</t>
  </si>
  <si>
    <t>Sep '07</t>
  </si>
  <si>
    <t>Sep '06</t>
  </si>
  <si>
    <t>Net sales</t>
  </si>
  <si>
    <t>Cost of sales</t>
  </si>
  <si>
    <t>Gross margin</t>
  </si>
  <si>
    <t>Total operating expenses</t>
  </si>
  <si>
    <t xml:space="preserve">  Research and development</t>
  </si>
  <si>
    <t xml:space="preserve">  Selling, general and administrative</t>
  </si>
  <si>
    <t>Operating income</t>
  </si>
  <si>
    <t>Other income / expense, net</t>
  </si>
  <si>
    <t>Income before provision for income taxes</t>
  </si>
  <si>
    <t>Provision for income taxes</t>
  </si>
  <si>
    <t>Net income</t>
  </si>
  <si>
    <t>Balance Sheet - As Reported</t>
  </si>
  <si>
    <t>Total assets</t>
  </si>
  <si>
    <t xml:space="preserve">  Total current assets</t>
  </si>
  <si>
    <t xml:space="preserve">    Cash and cash equivalents</t>
  </si>
  <si>
    <t xml:space="preserve">    Short-term marketable securities</t>
  </si>
  <si>
    <t xml:space="preserve">    Accounts receivable, less allowances</t>
  </si>
  <si>
    <t xml:space="preserve">    Inventories</t>
  </si>
  <si>
    <t xml:space="preserve">    Other current assets</t>
  </si>
  <si>
    <t xml:space="preserve">      Vendor non-trade receivables</t>
  </si>
  <si>
    <t>--</t>
  </si>
  <si>
    <t xml:space="preserve">      Other current assets excluding vendor non-trade receivables</t>
  </si>
  <si>
    <t xml:space="preserve">        Deferred tax assets</t>
  </si>
  <si>
    <t xml:space="preserve">        Other current assets excluding deferred tax assets</t>
  </si>
  <si>
    <t xml:space="preserve">  Long-term marketable securities</t>
  </si>
  <si>
    <t xml:space="preserve">  Property, plant and equipment, net</t>
  </si>
  <si>
    <t xml:space="preserve">  Goodwill</t>
  </si>
  <si>
    <t xml:space="preserve">  Acquired intangible assets, net</t>
  </si>
  <si>
    <t xml:space="preserve">  Other non-current assets</t>
  </si>
  <si>
    <t>Total liabilities and shareholders' equity</t>
  </si>
  <si>
    <t xml:space="preserve">  Total liabilities</t>
  </si>
  <si>
    <t xml:space="preserve">    Total current liabilities</t>
  </si>
  <si>
    <t xml:space="preserve">      Accounts payable</t>
  </si>
  <si>
    <t xml:space="preserve">      Accrued expenses</t>
  </si>
  <si>
    <t xml:space="preserve">        Accrued expenses excluding deferred revenue</t>
  </si>
  <si>
    <t xml:space="preserve">        Deferred revenue</t>
  </si>
  <si>
    <t xml:space="preserve">      Commercial paper</t>
  </si>
  <si>
    <t xml:space="preserve">      Current portion of long-term debt</t>
  </si>
  <si>
    <t xml:space="preserve">    Long-term debt</t>
  </si>
  <si>
    <t xml:space="preserve">    Non-current liabilities</t>
  </si>
  <si>
    <t xml:space="preserve">      Deferred revenue, non-current</t>
  </si>
  <si>
    <t xml:space="preserve">      Other non-current liabilities</t>
  </si>
  <si>
    <t xml:space="preserve">  Total shareholders' equity</t>
  </si>
  <si>
    <t xml:space="preserve">    Common stock and additional paid-in capital</t>
  </si>
  <si>
    <t xml:space="preserve">    Retained earnings</t>
  </si>
  <si>
    <t xml:space="preserve">    Accumulated other comprehensive income / loss</t>
  </si>
  <si>
    <t>Cash Flow - As Reported</t>
  </si>
  <si>
    <t>Cash generated by operating activities</t>
  </si>
  <si>
    <t xml:space="preserve">  Net income</t>
  </si>
  <si>
    <t xml:space="preserve">  Adjustments to reconcile net income to cash generated by operating activities</t>
  </si>
  <si>
    <t xml:space="preserve">    Depreciation and amortization</t>
  </si>
  <si>
    <t xml:space="preserve">    Share-based compensation expense</t>
  </si>
  <si>
    <t xml:space="preserve">    Deferred income tax expense / benefit</t>
  </si>
  <si>
    <t xml:space="preserve">    Excess tax benefits from stock options</t>
  </si>
  <si>
    <t xml:space="preserve">    Gain on sale of PowerSchool net assets</t>
  </si>
  <si>
    <t xml:space="preserve">  Changes in operating assets and liabilities</t>
  </si>
  <si>
    <t xml:space="preserve">    Accounts receivable, net</t>
  </si>
  <si>
    <t xml:space="preserve">    Vendor non-trade receivables</t>
  </si>
  <si>
    <t xml:space="preserve">    Other current and non-current assets</t>
  </si>
  <si>
    <t xml:space="preserve">      Loss on disposition of property, plant and equipment</t>
  </si>
  <si>
    <t xml:space="preserve">      Other current assets</t>
  </si>
  <si>
    <t xml:space="preserve">      Other assets</t>
  </si>
  <si>
    <t xml:space="preserve">    Accounts payable</t>
  </si>
  <si>
    <t xml:space="preserve">    Other liabilities</t>
  </si>
  <si>
    <t xml:space="preserve">      Deferred revenue</t>
  </si>
  <si>
    <t xml:space="preserve">      Other current and non-current liabilities</t>
  </si>
  <si>
    <t>Cash used in / generated by investing activities</t>
  </si>
  <si>
    <t xml:space="preserve">  Purchases of marketable securities</t>
  </si>
  <si>
    <t xml:space="preserve">  Proceeds from maturities of marketable securities</t>
  </si>
  <si>
    <t xml:space="preserve">  Proceeds from sales of marketable securities</t>
  </si>
  <si>
    <t xml:space="preserve">  Proceeds from sale of PowerSchool net assets</t>
  </si>
  <si>
    <t xml:space="preserve">  Payments made in connection with business acquisitions, net</t>
  </si>
  <si>
    <t xml:space="preserve">  Payments for acquisition of property, plant and equipment</t>
  </si>
  <si>
    <t xml:space="preserve">  Payments for acquisition of intangible assets</t>
  </si>
  <si>
    <t xml:space="preserve">  Other</t>
  </si>
  <si>
    <t xml:space="preserve">    Purchases of other long-term investments</t>
  </si>
  <si>
    <t xml:space="preserve">    Other excluding purchases of other long-term investments</t>
  </si>
  <si>
    <t>Cash used in / generated by financing activities</t>
  </si>
  <si>
    <t xml:space="preserve">  Proceeds from issuance of common stock</t>
  </si>
  <si>
    <t xml:space="preserve">  Excess tax benefits from equity awards</t>
  </si>
  <si>
    <t xml:space="preserve">  Payments for taxes related to net share settlement of equity awards</t>
  </si>
  <si>
    <t xml:space="preserve">  Payments for dividends and dividend equivalents</t>
  </si>
  <si>
    <t xml:space="preserve">  Repurchase of common stock</t>
  </si>
  <si>
    <t xml:space="preserve">  Proceeds from issuance of term debt, net</t>
  </si>
  <si>
    <t xml:space="preserve">  Change in commercial paper, net</t>
  </si>
  <si>
    <t>Increase / decrease in cash and cash equivalents</t>
  </si>
  <si>
    <t>Cash and cash equivalents, beginning of the period</t>
  </si>
  <si>
    <t>Cash and cash equivalents, end of the period</t>
  </si>
  <si>
    <t>Supplemental disclosure</t>
  </si>
  <si>
    <t xml:space="preserve">  Cash paid for income taxes, net</t>
  </si>
  <si>
    <t xml:space="preserve">  Cash paid for interest</t>
  </si>
  <si>
    <t xml:space="preserve">Calculations </t>
  </si>
  <si>
    <t>Cash + ST + LT investments</t>
  </si>
  <si>
    <t>Total AR</t>
  </si>
  <si>
    <t>Total debt</t>
  </si>
  <si>
    <t>Goodwill and Intangible assets</t>
  </si>
  <si>
    <t>Composition of Cash, ST and LT investments</t>
  </si>
  <si>
    <t>Liquid Assets, Debt and Total equity</t>
  </si>
  <si>
    <t>AR, Inventory, AP, Accrued expenses</t>
  </si>
  <si>
    <t>Liquid, Tangible and Intangible assets</t>
  </si>
  <si>
    <t xml:space="preserve"> Accrued expenses</t>
  </si>
  <si>
    <t>Accounts payable</t>
  </si>
  <si>
    <t xml:space="preserve"> Inventories</t>
  </si>
  <si>
    <t xml:space="preserve">Income composition </t>
  </si>
  <si>
    <t>Income before taxes</t>
  </si>
  <si>
    <t>Sales growth</t>
  </si>
  <si>
    <t>Expenses composition excl cost of sales</t>
  </si>
  <si>
    <t xml:space="preserve">AR </t>
  </si>
  <si>
    <t>Inventory</t>
  </si>
  <si>
    <t>AP</t>
  </si>
  <si>
    <t>Sales</t>
  </si>
  <si>
    <t>AR turnover</t>
  </si>
  <si>
    <t>Inventory turnover</t>
  </si>
  <si>
    <t>AP turnover</t>
  </si>
  <si>
    <t>Days AR</t>
  </si>
  <si>
    <t>Days Inventory</t>
  </si>
  <si>
    <t>Days AP</t>
  </si>
  <si>
    <t>Efficiency ratios</t>
  </si>
  <si>
    <t xml:space="preserve">Liquidity ratios </t>
  </si>
  <si>
    <t xml:space="preserve">Cash </t>
  </si>
  <si>
    <t>Current assets</t>
  </si>
  <si>
    <t>Current liabilities</t>
  </si>
  <si>
    <t>ST marketable securities</t>
  </si>
  <si>
    <t>Current ratio</t>
  </si>
  <si>
    <t>Quick ratio</t>
  </si>
  <si>
    <t>Cash ratio</t>
  </si>
  <si>
    <t>Cash flow from operations</t>
  </si>
  <si>
    <t>CFO/Current liabilities</t>
  </si>
  <si>
    <t>Leverage ratios</t>
  </si>
  <si>
    <t>ST debt</t>
  </si>
  <si>
    <t>LT debt</t>
  </si>
  <si>
    <t xml:space="preserve">Operating income </t>
  </si>
  <si>
    <t>Interest expense</t>
  </si>
  <si>
    <t>Dividends</t>
  </si>
  <si>
    <t>Depreciation and amortization</t>
  </si>
  <si>
    <t>EBITDA  (Ops income + D + A)</t>
  </si>
  <si>
    <t>CapEx</t>
  </si>
  <si>
    <t>FCF (CFO - CapEx)</t>
  </si>
  <si>
    <t>LT marketable securities</t>
  </si>
  <si>
    <t>CFO</t>
  </si>
  <si>
    <t>Analysis</t>
  </si>
  <si>
    <t>Net debt</t>
  </si>
  <si>
    <t>Debt/Assets</t>
  </si>
  <si>
    <t>Interest coverage ratio (EBIT/interest)</t>
  </si>
  <si>
    <t xml:space="preserve">EBITDA/interest </t>
  </si>
  <si>
    <t>CFO/interest</t>
  </si>
  <si>
    <t>Debt/EBITDA</t>
  </si>
  <si>
    <t>Debt/CFO</t>
  </si>
  <si>
    <t>Debt/FCF</t>
  </si>
  <si>
    <t>Equity book value</t>
  </si>
  <si>
    <t>Debt/Equity book value</t>
  </si>
  <si>
    <t xml:space="preserve">Share price performance </t>
  </si>
  <si>
    <t xml:space="preserve">Share price </t>
  </si>
  <si>
    <t>Shares outstanding (basic)</t>
  </si>
  <si>
    <t>Earnings per share</t>
  </si>
  <si>
    <t>Market cap/EBITDA</t>
  </si>
  <si>
    <t>EBITDA (EBIT+D+A)</t>
  </si>
  <si>
    <t>Market/book value per share</t>
  </si>
  <si>
    <t>P/E trailing</t>
  </si>
  <si>
    <t>Return on equity</t>
  </si>
  <si>
    <t>Assets turnover</t>
  </si>
  <si>
    <t>Equity multiplier (Assets/equity)</t>
  </si>
  <si>
    <t>Income statement - common size - graphs</t>
  </si>
  <si>
    <t>Income Statement - As Reported - common size</t>
  </si>
  <si>
    <t>Net sales in $'B - 100%</t>
  </si>
  <si>
    <t>Total assets in $'B - 100%</t>
  </si>
  <si>
    <t>Balance Sheet - As Reported - Common size</t>
  </si>
  <si>
    <t>Balance sheet - common size - graphs</t>
  </si>
  <si>
    <t>Operating income growth</t>
  </si>
  <si>
    <t xml:space="preserve">Net income growth </t>
  </si>
  <si>
    <t xml:space="preserve">Gross profit growth </t>
  </si>
  <si>
    <t>Income Statement - growth measures</t>
  </si>
  <si>
    <t>Profitability - basic DuPont analysis</t>
  </si>
  <si>
    <t>Total assets turnover</t>
  </si>
  <si>
    <t xml:space="preserve">Sep '16 </t>
  </si>
  <si>
    <t>Sep '16</t>
  </si>
  <si>
    <t>Sep '17</t>
  </si>
  <si>
    <t>Net profit margin</t>
  </si>
  <si>
    <t>Sep '18</t>
  </si>
  <si>
    <t>-</t>
  </si>
  <si>
    <t>Sep '19</t>
  </si>
  <si>
    <t>Accounts Payable Days</t>
  </si>
  <si>
    <t>Accounts Receivable Days</t>
  </si>
  <si>
    <t>Working capital Days</t>
  </si>
  <si>
    <t>Inventory Days</t>
  </si>
  <si>
    <t>Net Income</t>
  </si>
  <si>
    <t xml:space="preserve">Equity </t>
  </si>
  <si>
    <t>Assets</t>
  </si>
  <si>
    <t>X</t>
  </si>
  <si>
    <t>=</t>
  </si>
  <si>
    <t>ROE</t>
  </si>
  <si>
    <t>Assets Turnover</t>
  </si>
  <si>
    <t>Equity Multiplier</t>
  </si>
  <si>
    <t>Net Profit Margin</t>
  </si>
  <si>
    <t>Sep '20</t>
  </si>
  <si>
    <t>Inventory as % of COGS</t>
  </si>
  <si>
    <t>Other current assets as % of sales</t>
  </si>
  <si>
    <t>AP as % of COGS</t>
  </si>
  <si>
    <t>Accrued expenses as % of COGS</t>
  </si>
  <si>
    <t xml:space="preserve">AR as % of sales </t>
  </si>
  <si>
    <t>Sep '21</t>
  </si>
  <si>
    <t xml:space="preserve">Working capital </t>
  </si>
  <si>
    <t xml:space="preserve"> (excl accrued expenses)</t>
  </si>
  <si>
    <t>Working capital days</t>
  </si>
  <si>
    <t>Summary various scenarios</t>
  </si>
  <si>
    <t xml:space="preserve">Scenario </t>
  </si>
  <si>
    <t>Share price</t>
  </si>
  <si>
    <t>Base scenario</t>
  </si>
  <si>
    <t>BASE</t>
  </si>
  <si>
    <t>Lower growth, higher costs</t>
  </si>
  <si>
    <t xml:space="preserve">Price pressure, less services, more regulation, geopolitical </t>
  </si>
  <si>
    <t xml:space="preserve">Higher growth, higher profit </t>
  </si>
  <si>
    <t>New and more services - healthcare, iCloud for business, games, original content revenue</t>
  </si>
  <si>
    <t>IS and BS forecast, Free Cash Flows and Apple valuation</t>
  </si>
  <si>
    <t>Assumptions</t>
  </si>
  <si>
    <t>Actual</t>
  </si>
  <si>
    <t>Forecast</t>
  </si>
  <si>
    <t>Income statement</t>
  </si>
  <si>
    <t xml:space="preserve">See the tab revenue forecast </t>
  </si>
  <si>
    <t>Cost of sales as % sales</t>
  </si>
  <si>
    <t>Going down sligthly as a result of higher % of services as % of sales</t>
  </si>
  <si>
    <t>Ops expenses as % of sales</t>
  </si>
  <si>
    <t>Stable</t>
  </si>
  <si>
    <t>Interest income</t>
  </si>
  <si>
    <t>Increasing at the interest rates increase</t>
  </si>
  <si>
    <t>Tax rate as % of pretax income (going down)</t>
  </si>
  <si>
    <t>Based on the new tax rules</t>
  </si>
  <si>
    <t>Balance sheet</t>
  </si>
  <si>
    <t>Cash - stable in $</t>
  </si>
  <si>
    <t>ST debt - stable</t>
  </si>
  <si>
    <t>LT debt - stable</t>
  </si>
  <si>
    <t>AR as % of sales</t>
  </si>
  <si>
    <t>Goodwill + intangibles+other in $</t>
  </si>
  <si>
    <t>Non-current liabilities - no change</t>
  </si>
  <si>
    <t>Other:</t>
  </si>
  <si>
    <t>Dividends in $ - increase of 5% per year</t>
  </si>
  <si>
    <t>Share repurchases in $ - 70% of net income</t>
  </si>
  <si>
    <t>Additional share repurchases/dividends to use foreign cash ($'B)</t>
  </si>
  <si>
    <t>Extra share repurchases</t>
  </si>
  <si>
    <t>CapEx as % of next year sales</t>
  </si>
  <si>
    <t>Approximately the historical rate, stable business</t>
  </si>
  <si>
    <t>Depreciation as % of current year CapEx</t>
  </si>
  <si>
    <t>Approximately the historical rate</t>
  </si>
  <si>
    <t xml:space="preserve">Growth rate - terminal </t>
  </si>
  <si>
    <t xml:space="preserve">Actual </t>
  </si>
  <si>
    <t>Income statement forecast</t>
  </si>
  <si>
    <t>See the tab revenue forecast</t>
  </si>
  <si>
    <t>Balance sheet forecast</t>
  </si>
  <si>
    <t>Cash and cash equivalents</t>
  </si>
  <si>
    <t>Marketable securities - ST and LT</t>
  </si>
  <si>
    <t>This is a plug</t>
  </si>
  <si>
    <t>Accounts receivable, less allowances</t>
  </si>
  <si>
    <t>Inventories</t>
  </si>
  <si>
    <t>Other current assets</t>
  </si>
  <si>
    <t>Property, plant and equipment, net</t>
  </si>
  <si>
    <t xml:space="preserve">Prior PPE + CapEx - Depreciation </t>
  </si>
  <si>
    <t xml:space="preserve">Goodwill + intangbles + other </t>
  </si>
  <si>
    <t>Accrued expenses</t>
  </si>
  <si>
    <t>Long-term debt</t>
  </si>
  <si>
    <t>Non-current liabilities</t>
  </si>
  <si>
    <t>Total liabilities</t>
  </si>
  <si>
    <t>Total shareholders' equity</t>
  </si>
  <si>
    <t>Prior equity + NI - Dividends - buybacks</t>
  </si>
  <si>
    <t>Total liabilities and equity</t>
  </si>
  <si>
    <t xml:space="preserve">Other </t>
  </si>
  <si>
    <t>Depreciation</t>
  </si>
  <si>
    <t>Share repurchases</t>
  </si>
  <si>
    <t>Free cash flow</t>
  </si>
  <si>
    <t>EBIT * (1-tax rate)</t>
  </si>
  <si>
    <t>WC calculation</t>
  </si>
  <si>
    <t>(Increase)/decrease in AR</t>
  </si>
  <si>
    <t>(Increase)/decrease in Inventory</t>
  </si>
  <si>
    <t>(Increase)/decrease in other current assets</t>
  </si>
  <si>
    <t>Increase/(decrease) in AP</t>
  </si>
  <si>
    <t>Increase/(decrease) in Accrued expenses</t>
  </si>
  <si>
    <t>Free Cash Flows</t>
  </si>
  <si>
    <t>Terminal Value</t>
  </si>
  <si>
    <t>Total Free Cash Flow</t>
  </si>
  <si>
    <t>PV of the Total Free Cash Flow</t>
  </si>
  <si>
    <t>Add cash and MS</t>
  </si>
  <si>
    <t>Subtract Debt</t>
  </si>
  <si>
    <t>Apple market value</t>
  </si>
  <si>
    <t>`</t>
  </si>
  <si>
    <t>Number of shares in B</t>
  </si>
  <si>
    <t xml:space="preserve">Forecast </t>
  </si>
  <si>
    <t xml:space="preserve">Volume by product </t>
  </si>
  <si>
    <t>iPhone (in M)</t>
  </si>
  <si>
    <t>iPad (in M)</t>
  </si>
  <si>
    <t>Price by product</t>
  </si>
  <si>
    <t xml:space="preserve">iPhone (in $) - blended </t>
  </si>
  <si>
    <t>iPad (in $) - blended</t>
  </si>
  <si>
    <t xml:space="preserve">Services </t>
  </si>
  <si>
    <t>Other products growth</t>
  </si>
  <si>
    <t>Total revenue in $'B</t>
  </si>
  <si>
    <t>iPhone</t>
  </si>
  <si>
    <t>iPad</t>
  </si>
  <si>
    <t>Other products</t>
  </si>
  <si>
    <t xml:space="preserve">Total </t>
  </si>
  <si>
    <t xml:space="preserve">Calculated </t>
  </si>
  <si>
    <t>Estimate</t>
  </si>
  <si>
    <t xml:space="preserve">Total revenue growth rate </t>
  </si>
  <si>
    <t xml:space="preserve">Difference Actual - Forecast </t>
  </si>
  <si>
    <t>Comments</t>
  </si>
  <si>
    <t xml:space="preserve">Cost of capital </t>
  </si>
  <si>
    <t>Assumes that the weight of debt in the capital structure will remain stable going forward</t>
  </si>
  <si>
    <t>Inputs</t>
  </si>
  <si>
    <t>Comment</t>
  </si>
  <si>
    <t>Cost of debt</t>
  </si>
  <si>
    <t>From Apple 10K (approximate)</t>
  </si>
  <si>
    <t>Tax rate</t>
  </si>
  <si>
    <t>Interest payments are in the US</t>
  </si>
  <si>
    <t>10y UST</t>
  </si>
  <si>
    <t>Market risk premium</t>
  </si>
  <si>
    <t>Beta Apple</t>
  </si>
  <si>
    <t>From Yahoo Finance</t>
  </si>
  <si>
    <t>Used market cap and current gross debt</t>
  </si>
  <si>
    <t>Permanent debt weight - estimate</t>
  </si>
  <si>
    <t>Cost of capital calculation</t>
  </si>
  <si>
    <t xml:space="preserve">Cost of equity </t>
  </si>
  <si>
    <t>CAPM</t>
  </si>
  <si>
    <t xml:space="preserve">After-tax cost of debt </t>
  </si>
  <si>
    <t>WACC</t>
  </si>
  <si>
    <t>Beginning shares outstanding</t>
  </si>
  <si>
    <t>Shares repurchased</t>
  </si>
  <si>
    <t xml:space="preserve">Ending shares outstanding </t>
  </si>
  <si>
    <t>Sep '22</t>
  </si>
  <si>
    <t>From JPM projections</t>
  </si>
  <si>
    <t>Sep '23</t>
  </si>
  <si>
    <t>Estimate - long-term</t>
  </si>
  <si>
    <t>Shares Sept 2023</t>
  </si>
  <si>
    <t>Market cap approximation</t>
  </si>
  <si>
    <t xml:space="preserve">Estimate - similar leverage going forward </t>
  </si>
  <si>
    <t>Beta Apple - assuming similar leverage</t>
  </si>
  <si>
    <t>Sep '24</t>
  </si>
  <si>
    <t>BASE - estimated value as of September 2025</t>
  </si>
  <si>
    <t>A bit lower revenue than I projected :-(</t>
  </si>
  <si>
    <t xml:space="preserve">Goodwill + intangibles + other </t>
  </si>
  <si>
    <t>Sep '25</t>
  </si>
  <si>
    <t>BASE - estimated value as of November 2025</t>
  </si>
  <si>
    <t>Actuals - September 2025</t>
  </si>
  <si>
    <t>Forecast - April 2025</t>
  </si>
  <si>
    <t>Very close</t>
  </si>
  <si>
    <t>Because of the revenue miss</t>
  </si>
  <si>
    <t>Lower revenue and higher ops expenses is why the ops income is off</t>
  </si>
  <si>
    <t>This is very close</t>
  </si>
  <si>
    <t>And this one</t>
  </si>
  <si>
    <t>Basically slower collections and slower payments</t>
  </si>
  <si>
    <t>I expected higher share repurchases</t>
  </si>
  <si>
    <t>Probably just timing</t>
  </si>
  <si>
    <t>Forecast versus actuals - 2025</t>
  </si>
  <si>
    <t>Apple revenue forecast as of November 2025</t>
  </si>
  <si>
    <t>Mac, iWatch, iPods</t>
  </si>
  <si>
    <t>Yahoo Finance</t>
  </si>
  <si>
    <t>Debt value Sept 2025</t>
  </si>
  <si>
    <t>3% is historical rate, just a bit gorwing because of potential data center needs</t>
  </si>
  <si>
    <t>Share repurchases in $ - 80% of net income</t>
  </si>
  <si>
    <t>Assume average price of $250 per share</t>
  </si>
  <si>
    <t>Equity value November 2025</t>
  </si>
  <si>
    <t>Gross debt weight November 2025</t>
  </si>
  <si>
    <t>From 2025 BS</t>
  </si>
  <si>
    <t>New product and higher revenue</t>
  </si>
  <si>
    <t>Higher margins mainly because of the new product</t>
  </si>
  <si>
    <t>Less demand, competitive pressure</t>
  </si>
  <si>
    <t>Higher costs - maybe tariffs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</si>
</sst>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[Red]\-#,##0"/>
    <numFmt numFmtId="165" formatCode="#,##0.0;[Red]\-#,##0.0"/>
    <numFmt numFmtId="166" formatCode="#,##0.00;[Red]\-#,##0.00"/>
    <numFmt numFmtId="167" formatCode="0.0"/>
    <numFmt numFmtId="168" formatCode="0.0%"/>
    <numFmt numFmtId="169" formatCode="&quot;$&quot;#,##0.00"/>
    <numFmt numFmtId="170" formatCode="0.0;[Red]0.0"/>
    <numFmt numFmtId="171" formatCode="#,##0.00000000000000;[Red]#,##0.00000000000000"/>
    <numFmt numFmtId="172" formatCode="#,##0.0;[Red]#,##0.0"/>
    <numFmt numFmtId="173" formatCode="&quot;$&quot;#,##0.0;[Red]&quot;$&quot;#,##0.0"/>
    <numFmt numFmtId="174" formatCode="0;[Red]0"/>
    <numFmt numFmtId="175" formatCode="&quot;$&quot;#,##0"/>
    <numFmt numFmtId="176" formatCode="#,##0.0"/>
    <numFmt numFmtId="177" formatCode="0.000%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C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C000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rgb="FF800000"/>
      <name val="Arial"/>
      <family val="2"/>
    </font>
    <font>
      <b/>
      <sz val="11"/>
      <color rgb="FF0066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6" fillId="0" borderId="0"/>
  </cellStyleXfs>
  <cellXfs count="119">
    <xf numFmtId="0" fontId="0" fillId="0" borderId="0" xfId="0"/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0" fontId="5" fillId="0" borderId="0" xfId="0" applyFont="1"/>
    <xf numFmtId="2" fontId="7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1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12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9" fontId="9" fillId="0" borderId="0" xfId="0" applyNumberFormat="1" applyFont="1" applyAlignment="1">
      <alignment vertical="center"/>
    </xf>
    <xf numFmtId="0" fontId="9" fillId="3" borderId="0" xfId="0" applyFont="1" applyFill="1"/>
    <xf numFmtId="0" fontId="9" fillId="4" borderId="0" xfId="0" applyFont="1" applyFill="1"/>
    <xf numFmtId="0" fontId="9" fillId="2" borderId="0" xfId="0" applyFont="1" applyFill="1"/>
    <xf numFmtId="0" fontId="9" fillId="5" borderId="0" xfId="0" applyFont="1" applyFill="1"/>
    <xf numFmtId="164" fontId="10" fillId="0" borderId="1" xfId="0" applyNumberFormat="1" applyFont="1" applyBorder="1" applyAlignment="1">
      <alignment vertical="center"/>
    </xf>
    <xf numFmtId="2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9" fontId="9" fillId="0" borderId="0" xfId="2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8" fontId="9" fillId="0" borderId="0" xfId="2" applyNumberFormat="1" applyFont="1" applyAlignment="1">
      <alignment vertical="center"/>
    </xf>
    <xf numFmtId="2" fontId="9" fillId="0" borderId="1" xfId="0" applyNumberFormat="1" applyFont="1" applyBorder="1" applyAlignment="1">
      <alignment vertical="center"/>
    </xf>
    <xf numFmtId="9" fontId="8" fillId="0" borderId="0" xfId="0" applyNumberFormat="1" applyFont="1" applyAlignment="1">
      <alignment vertical="center"/>
    </xf>
    <xf numFmtId="164" fontId="8" fillId="0" borderId="1" xfId="0" applyNumberFormat="1" applyFont="1" applyBorder="1" applyAlignment="1">
      <alignment vertical="center"/>
    </xf>
    <xf numFmtId="9" fontId="8" fillId="0" borderId="1" xfId="0" applyNumberFormat="1" applyFont="1" applyBorder="1" applyAlignment="1">
      <alignment vertical="center"/>
    </xf>
    <xf numFmtId="9" fontId="10" fillId="0" borderId="0" xfId="0" applyNumberFormat="1" applyFont="1" applyAlignment="1">
      <alignment vertical="center"/>
    </xf>
    <xf numFmtId="164" fontId="10" fillId="0" borderId="2" xfId="0" applyNumberFormat="1" applyFont="1" applyBorder="1" applyAlignment="1">
      <alignment vertical="center"/>
    </xf>
    <xf numFmtId="9" fontId="10" fillId="0" borderId="2" xfId="0" applyNumberFormat="1" applyFont="1" applyBorder="1" applyAlignment="1">
      <alignment vertical="center"/>
    </xf>
    <xf numFmtId="166" fontId="8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74" fontId="9" fillId="0" borderId="0" xfId="0" applyNumberFormat="1" applyFont="1" applyAlignment="1">
      <alignment vertical="center"/>
    </xf>
    <xf numFmtId="174" fontId="9" fillId="0" borderId="1" xfId="0" applyNumberFormat="1" applyFont="1" applyBorder="1" applyAlignment="1">
      <alignment vertical="center"/>
    </xf>
    <xf numFmtId="174" fontId="12" fillId="0" borderId="0" xfId="0" applyNumberFormat="1" applyFont="1" applyAlignment="1">
      <alignment vertical="center"/>
    </xf>
    <xf numFmtId="174" fontId="12" fillId="0" borderId="1" xfId="0" applyNumberFormat="1" applyFont="1" applyBorder="1" applyAlignment="1">
      <alignment vertical="center"/>
    </xf>
    <xf numFmtId="174" fontId="10" fillId="0" borderId="2" xfId="0" applyNumberFormat="1" applyFont="1" applyBorder="1" applyAlignment="1">
      <alignment vertical="center"/>
    </xf>
    <xf numFmtId="174" fontId="8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9" fontId="12" fillId="0" borderId="1" xfId="0" applyNumberFormat="1" applyFont="1" applyBorder="1" applyAlignment="1">
      <alignment vertical="center"/>
    </xf>
    <xf numFmtId="168" fontId="8" fillId="0" borderId="0" xfId="2" applyNumberFormat="1" applyFont="1" applyAlignment="1">
      <alignment vertical="center"/>
    </xf>
    <xf numFmtId="9" fontId="8" fillId="0" borderId="0" xfId="2" applyFont="1" applyAlignment="1">
      <alignment vertical="center"/>
    </xf>
    <xf numFmtId="168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170" fontId="9" fillId="0" borderId="1" xfId="0" applyNumberFormat="1" applyFont="1" applyBorder="1" applyAlignment="1">
      <alignment vertical="center"/>
    </xf>
    <xf numFmtId="170" fontId="12" fillId="0" borderId="0" xfId="0" applyNumberFormat="1" applyFont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171" fontId="9" fillId="0" borderId="0" xfId="0" applyNumberFormat="1" applyFont="1" applyAlignment="1">
      <alignment vertical="center"/>
    </xf>
    <xf numFmtId="170" fontId="12" fillId="0" borderId="1" xfId="0" applyNumberFormat="1" applyFont="1" applyBorder="1" applyAlignment="1">
      <alignment vertical="center"/>
    </xf>
    <xf numFmtId="170" fontId="12" fillId="0" borderId="1" xfId="2" applyNumberFormat="1" applyFont="1" applyBorder="1" applyAlignment="1">
      <alignment vertical="center"/>
    </xf>
    <xf numFmtId="172" fontId="12" fillId="0" borderId="1" xfId="2" applyNumberFormat="1" applyFont="1" applyBorder="1" applyAlignment="1">
      <alignment vertical="center"/>
    </xf>
    <xf numFmtId="172" fontId="12" fillId="0" borderId="0" xfId="0" applyNumberFormat="1" applyFont="1" applyAlignment="1">
      <alignment vertical="center"/>
    </xf>
    <xf numFmtId="164" fontId="10" fillId="6" borderId="3" xfId="0" applyNumberFormat="1" applyFont="1" applyFill="1" applyBorder="1" applyAlignment="1">
      <alignment vertical="center"/>
    </xf>
    <xf numFmtId="173" fontId="12" fillId="6" borderId="4" xfId="0" applyNumberFormat="1" applyFont="1" applyFill="1" applyBorder="1" applyAlignment="1">
      <alignment vertical="center"/>
    </xf>
    <xf numFmtId="164" fontId="8" fillId="6" borderId="5" xfId="0" applyNumberFormat="1" applyFont="1" applyFill="1" applyBorder="1" applyAlignment="1">
      <alignment vertical="center"/>
    </xf>
    <xf numFmtId="173" fontId="9" fillId="6" borderId="6" xfId="0" applyNumberFormat="1" applyFont="1" applyFill="1" applyBorder="1" applyAlignment="1">
      <alignment vertical="center"/>
    </xf>
    <xf numFmtId="164" fontId="8" fillId="6" borderId="7" xfId="0" applyNumberFormat="1" applyFont="1" applyFill="1" applyBorder="1" applyAlignment="1">
      <alignment vertical="center"/>
    </xf>
    <xf numFmtId="173" fontId="9" fillId="6" borderId="8" xfId="0" applyNumberFormat="1" applyFont="1" applyFill="1" applyBorder="1" applyAlignment="1">
      <alignment vertical="center"/>
    </xf>
    <xf numFmtId="164" fontId="10" fillId="6" borderId="5" xfId="0" applyNumberFormat="1" applyFont="1" applyFill="1" applyBorder="1" applyAlignment="1">
      <alignment vertical="center"/>
    </xf>
    <xf numFmtId="173" fontId="12" fillId="6" borderId="6" xfId="0" applyNumberFormat="1" applyFont="1" applyFill="1" applyBorder="1" applyAlignment="1">
      <alignment vertical="center"/>
    </xf>
    <xf numFmtId="2" fontId="9" fillId="6" borderId="6" xfId="0" applyNumberFormat="1" applyFont="1" applyFill="1" applyBorder="1" applyAlignment="1">
      <alignment vertical="center"/>
    </xf>
    <xf numFmtId="164" fontId="10" fillId="6" borderId="9" xfId="0" applyNumberFormat="1" applyFont="1" applyFill="1" applyBorder="1" applyAlignment="1">
      <alignment vertical="center"/>
    </xf>
    <xf numFmtId="173" fontId="12" fillId="6" borderId="10" xfId="0" applyNumberFormat="1" applyFont="1" applyFill="1" applyBorder="1" applyAlignment="1">
      <alignment vertical="center"/>
    </xf>
    <xf numFmtId="0" fontId="12" fillId="0" borderId="1" xfId="0" applyFont="1" applyBorder="1"/>
    <xf numFmtId="0" fontId="9" fillId="0" borderId="1" xfId="0" applyFont="1" applyBorder="1"/>
    <xf numFmtId="10" fontId="9" fillId="0" borderId="0" xfId="0" applyNumberFormat="1" applyFont="1"/>
    <xf numFmtId="9" fontId="9" fillId="0" borderId="0" xfId="0" applyNumberFormat="1" applyFont="1"/>
    <xf numFmtId="2" fontId="9" fillId="0" borderId="0" xfId="0" applyNumberFormat="1" applyFont="1"/>
    <xf numFmtId="169" fontId="9" fillId="0" borderId="0" xfId="0" applyNumberFormat="1" applyFont="1"/>
    <xf numFmtId="175" fontId="9" fillId="0" borderId="0" xfId="0" applyNumberFormat="1" applyFont="1"/>
    <xf numFmtId="10" fontId="9" fillId="0" borderId="0" xfId="2" applyNumberFormat="1" applyFont="1" applyAlignment="1"/>
    <xf numFmtId="0" fontId="12" fillId="6" borderId="11" xfId="0" applyFont="1" applyFill="1" applyBorder="1"/>
    <xf numFmtId="10" fontId="12" fillId="6" borderId="12" xfId="0" applyNumberFormat="1" applyFont="1" applyFill="1" applyBorder="1"/>
    <xf numFmtId="0" fontId="11" fillId="0" borderId="0" xfId="0" applyFont="1"/>
    <xf numFmtId="0" fontId="12" fillId="0" borderId="0" xfId="0" applyFont="1"/>
    <xf numFmtId="169" fontId="12" fillId="0" borderId="0" xfId="0" applyNumberFormat="1" applyFont="1"/>
    <xf numFmtId="9" fontId="9" fillId="7" borderId="0" xfId="0" applyNumberFormat="1" applyFont="1" applyFill="1" applyAlignment="1">
      <alignment vertical="center"/>
    </xf>
    <xf numFmtId="0" fontId="12" fillId="0" borderId="1" xfId="0" applyFont="1" applyBorder="1" applyAlignment="1">
      <alignment horizontal="right" vertical="center"/>
    </xf>
    <xf numFmtId="9" fontId="9" fillId="0" borderId="0" xfId="2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12" fillId="0" borderId="1" xfId="0" applyNumberFormat="1" applyFont="1" applyBorder="1" applyAlignment="1">
      <alignment horizontal="right" vertical="center"/>
    </xf>
    <xf numFmtId="1" fontId="12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176" fontId="12" fillId="0" borderId="0" xfId="0" applyNumberFormat="1" applyFont="1" applyAlignment="1">
      <alignment horizontal="right" vertical="center"/>
    </xf>
    <xf numFmtId="177" fontId="9" fillId="0" borderId="0" xfId="0" applyNumberFormat="1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right" vertical="center"/>
    </xf>
    <xf numFmtId="168" fontId="9" fillId="0" borderId="0" xfId="2" applyNumberFormat="1" applyFont="1" applyAlignment="1">
      <alignment horizontal="right" vertical="center"/>
    </xf>
    <xf numFmtId="0" fontId="9" fillId="7" borderId="0" xfId="0" applyFont="1" applyFill="1" applyAlignment="1">
      <alignment vertical="center"/>
    </xf>
  </cellXfs>
  <cellStyles count="4">
    <cellStyle name="Hyperlink" xfId="1" builtinId="8" customBuiltin="1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colors>
    <mruColors>
      <color rgb="FF006600"/>
      <color rgb="FF8000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'IS common size'!$B$7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'IS common size'!$C$4:$V$4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'IS common size'!$C$7:$V$7</c:f>
              <c:numCache>
                <c:formatCode>0%</c:formatCode>
                <c:ptCount val="20"/>
                <c:pt idx="0">
                  <c:v>0.28982655966865128</c:v>
                </c:pt>
                <c:pt idx="1">
                  <c:v>0.33966508372906773</c:v>
                </c:pt>
                <c:pt idx="2">
                  <c:v>0.35200448107545806</c:v>
                </c:pt>
                <c:pt idx="3">
                  <c:v>0.4013984384104417</c:v>
                </c:pt>
                <c:pt idx="4">
                  <c:v>0.3937753928708318</c:v>
                </c:pt>
                <c:pt idx="5">
                  <c:v>0.40478895878945764</c:v>
                </c:pt>
                <c:pt idx="6">
                  <c:v>0.43871239808827667</c:v>
                </c:pt>
                <c:pt idx="7">
                  <c:v>0.37624480720847231</c:v>
                </c:pt>
                <c:pt idx="8">
                  <c:v>0.38588035777783863</c:v>
                </c:pt>
                <c:pt idx="9">
                  <c:v>0.40059902017414373</c:v>
                </c:pt>
                <c:pt idx="10">
                  <c:v>0.39075955648097049</c:v>
                </c:pt>
                <c:pt idx="11">
                  <c:v>0.3846986049189911</c:v>
                </c:pt>
                <c:pt idx="12">
                  <c:v>0.38343718820007905</c:v>
                </c:pt>
                <c:pt idx="13">
                  <c:v>0.37817768109034722</c:v>
                </c:pt>
                <c:pt idx="14">
                  <c:v>0.38233247727810871</c:v>
                </c:pt>
                <c:pt idx="15">
                  <c:v>0.41779359625167778</c:v>
                </c:pt>
                <c:pt idx="16">
                  <c:v>0.43401015228426398</c:v>
                </c:pt>
                <c:pt idx="17">
                  <c:v>0.44125326370757179</c:v>
                </c:pt>
                <c:pt idx="18">
                  <c:v>0.46291560102301788</c:v>
                </c:pt>
                <c:pt idx="19">
                  <c:v>0.46905164107160446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1-44E1-9AA5-71C6C07380F5}"/>
            </c:ext>
          </c:extLst>
        </c:ser>
        <c:ser>
          <c:idx val="1"/>
          <c:order val="1"/>
          <c:tx>
            <c:strRef>
              <c:f>'IS common size'!$B$11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'IS common size'!$C$4:$V$4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'IS common size'!$C$11:$V$11</c:f>
              <c:numCache>
                <c:formatCode>0%</c:formatCode>
                <c:ptCount val="20"/>
                <c:pt idx="0">
                  <c:v>0.1269997411338338</c:v>
                </c:pt>
                <c:pt idx="1">
                  <c:v>0.1836624177289011</c:v>
                </c:pt>
                <c:pt idx="2">
                  <c:v>0.22210663892667573</c:v>
                </c:pt>
                <c:pt idx="3">
                  <c:v>0.2736277823097541</c:v>
                </c:pt>
                <c:pt idx="4">
                  <c:v>0.28187044844768117</c:v>
                </c:pt>
                <c:pt idx="5">
                  <c:v>0.31215068961376086</c:v>
                </c:pt>
                <c:pt idx="6">
                  <c:v>0.35295959311984049</c:v>
                </c:pt>
                <c:pt idx="7">
                  <c:v>0.28669475162366159</c:v>
                </c:pt>
                <c:pt idx="8">
                  <c:v>0.28722339232473537</c:v>
                </c:pt>
                <c:pt idx="9">
                  <c:v>0.30477290717326661</c:v>
                </c:pt>
                <c:pt idx="10">
                  <c:v>0.27835410106706115</c:v>
                </c:pt>
                <c:pt idx="11">
                  <c:v>0.26760428208729942</c:v>
                </c:pt>
                <c:pt idx="12">
                  <c:v>0.26694026619477018</c:v>
                </c:pt>
                <c:pt idx="13">
                  <c:v>0.24572017188496931</c:v>
                </c:pt>
                <c:pt idx="14">
                  <c:v>0.24147314354406868</c:v>
                </c:pt>
                <c:pt idx="15">
                  <c:v>0.29782377527561593</c:v>
                </c:pt>
                <c:pt idx="16">
                  <c:v>0.30304568527918785</c:v>
                </c:pt>
                <c:pt idx="17">
                  <c:v>0.29765013054830286</c:v>
                </c:pt>
                <c:pt idx="18">
                  <c:v>0.31508951406649616</c:v>
                </c:pt>
                <c:pt idx="19">
                  <c:v>0.31970799762591884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71-44E1-9AA5-71C6C07380F5}"/>
            </c:ext>
          </c:extLst>
        </c:ser>
        <c:ser>
          <c:idx val="2"/>
          <c:order val="2"/>
          <c:tx>
            <c:strRef>
              <c:f>'IS common size'!$B$13</c:f>
              <c:strCache>
                <c:ptCount val="1"/>
                <c:pt idx="0">
                  <c:v>Income before taxes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'IS common size'!$C$4:$V$4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'IS common size'!$C$13:$V$13</c:f>
              <c:numCache>
                <c:formatCode>0%</c:formatCode>
                <c:ptCount val="20"/>
                <c:pt idx="0">
                  <c:v>0.14589697126585555</c:v>
                </c:pt>
                <c:pt idx="1">
                  <c:v>0.20861451303840706</c:v>
                </c:pt>
                <c:pt idx="2">
                  <c:v>0.23864394121255766</c:v>
                </c:pt>
                <c:pt idx="3">
                  <c:v>0.28122596433982056</c:v>
                </c:pt>
                <c:pt idx="4">
                  <c:v>0.2842468378689153</c:v>
                </c:pt>
                <c:pt idx="5">
                  <c:v>0.31598444327430275</c:v>
                </c:pt>
                <c:pt idx="6">
                  <c:v>0.35629488588442759</c:v>
                </c:pt>
                <c:pt idx="7">
                  <c:v>0.29345854543326899</c:v>
                </c:pt>
                <c:pt idx="8">
                  <c:v>0.29258458929401787</c:v>
                </c:pt>
                <c:pt idx="9">
                  <c:v>0.31027105662880006</c:v>
                </c:pt>
                <c:pt idx="10">
                  <c:v>0.28460528939570301</c:v>
                </c:pt>
                <c:pt idx="11">
                  <c:v>0.27957894553164014</c:v>
                </c:pt>
                <c:pt idx="12">
                  <c:v>0.27448935409175623</c:v>
                </c:pt>
                <c:pt idx="13">
                  <c:v>0.25266552384173668</c:v>
                </c:pt>
                <c:pt idx="14">
                  <c:v>0.24439830246070346</c:v>
                </c:pt>
                <c:pt idx="15">
                  <c:v>0.29852904594373686</c:v>
                </c:pt>
                <c:pt idx="16">
                  <c:v>0.30228426395939084</c:v>
                </c:pt>
                <c:pt idx="17">
                  <c:v>0.29765013054830286</c:v>
                </c:pt>
                <c:pt idx="18">
                  <c:v>0.31585677749360613</c:v>
                </c:pt>
                <c:pt idx="19">
                  <c:v>0.31893666153243577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71-44E1-9AA5-71C6C07380F5}"/>
            </c:ext>
          </c:extLst>
        </c:ser>
        <c:ser>
          <c:idx val="3"/>
          <c:order val="3"/>
          <c:tx>
            <c:strRef>
              <c:f>'IS common size'!$B$15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'IS common size'!$C$4:$V$4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'IS common size'!$C$15:$V$15</c:f>
              <c:numCache>
                <c:formatCode>0%</c:formatCode>
                <c:ptCount val="20"/>
                <c:pt idx="0">
                  <c:v>0.10297696091120891</c:v>
                </c:pt>
                <c:pt idx="1">
                  <c:v>0.1456302591018912</c:v>
                </c:pt>
                <c:pt idx="2">
                  <c:v>0.16321250433437356</c:v>
                </c:pt>
                <c:pt idx="3">
                  <c:v>0.19193567183311966</c:v>
                </c:pt>
                <c:pt idx="4">
                  <c:v>0.21484093522422384</c:v>
                </c:pt>
                <c:pt idx="5">
                  <c:v>0.2394664153941376</c:v>
                </c:pt>
                <c:pt idx="6">
                  <c:v>0.26665090602397318</c:v>
                </c:pt>
                <c:pt idx="7">
                  <c:v>0.21670469837926393</c:v>
                </c:pt>
                <c:pt idx="8">
                  <c:v>0.21614376760852322</c:v>
                </c:pt>
                <c:pt idx="9">
                  <c:v>0.22845773698735639</c:v>
                </c:pt>
                <c:pt idx="10">
                  <c:v>0.21186798306428797</c:v>
                </c:pt>
                <c:pt idx="11">
                  <c:v>0.21092420845075335</c:v>
                </c:pt>
                <c:pt idx="12">
                  <c:v>0.22414202074587244</c:v>
                </c:pt>
                <c:pt idx="13">
                  <c:v>0.21238094505984459</c:v>
                </c:pt>
                <c:pt idx="14">
                  <c:v>0.20913611278072242</c:v>
                </c:pt>
                <c:pt idx="15">
                  <c:v>0.25881793355694244</c:v>
                </c:pt>
                <c:pt idx="16">
                  <c:v>0.25380710659898476</c:v>
                </c:pt>
                <c:pt idx="17">
                  <c:v>0.25326370757180156</c:v>
                </c:pt>
                <c:pt idx="18">
                  <c:v>0.23964194373401534</c:v>
                </c:pt>
                <c:pt idx="19">
                  <c:v>0.26915064121818238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71-44E1-9AA5-71C6C073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63853824"/>
        <c:axId val="163855360"/>
      </c:barChart>
      <c:catAx>
        <c:axId val="163853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855360"/>
        <c:crosses val="autoZero"/>
        <c:auto val="1"/>
        <c:lblAlgn val="ctr"/>
        <c:lblOffset val="100"/>
        <c:noMultiLvlLbl val="0"/>
      </c:catAx>
      <c:valAx>
        <c:axId val="1638553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85382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'IS common size'!$B$9</c:f>
              <c:strCache>
                <c:ptCount val="1"/>
                <c:pt idx="0">
                  <c:v>  Research and development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'IS common size'!$C$4:$V$4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'IS common size'!$C$9:$V$9</c:f>
              <c:numCache>
                <c:formatCode>0%</c:formatCode>
                <c:ptCount val="20"/>
                <c:pt idx="0">
                  <c:v>3.6862542065751999E-2</c:v>
                </c:pt>
                <c:pt idx="1">
                  <c:v>3.2575189535949345E-2</c:v>
                </c:pt>
                <c:pt idx="2">
                  <c:v>2.9580432637166254E-2</c:v>
                </c:pt>
                <c:pt idx="3">
                  <c:v>3.1068640018645843E-2</c:v>
                </c:pt>
                <c:pt idx="4">
                  <c:v>2.732081257186662E-2</c:v>
                </c:pt>
                <c:pt idx="5">
                  <c:v>2.2439006364954873E-2</c:v>
                </c:pt>
                <c:pt idx="6">
                  <c:v>2.1602729572929177E-2</c:v>
                </c:pt>
                <c:pt idx="7">
                  <c:v>2.6183371365045928E-2</c:v>
                </c:pt>
                <c:pt idx="8">
                  <c:v>3.304794988922017E-2</c:v>
                </c:pt>
                <c:pt idx="9">
                  <c:v>3.4516398177267184E-2</c:v>
                </c:pt>
                <c:pt idx="10">
                  <c:v>4.6582482760539605E-2</c:v>
                </c:pt>
                <c:pt idx="11">
                  <c:v>5.0520428906706681E-2</c:v>
                </c:pt>
                <c:pt idx="12">
                  <c:v>5.3600406634161032E-2</c:v>
                </c:pt>
                <c:pt idx="13">
                  <c:v>6.233136285716482E-2</c:v>
                </c:pt>
                <c:pt idx="14">
                  <c:v>6.8309564140393061E-2</c:v>
                </c:pt>
                <c:pt idx="15">
                  <c:v>5.9904269074427925E-2</c:v>
                </c:pt>
                <c:pt idx="16">
                  <c:v>6.5989847715736044E-2</c:v>
                </c:pt>
                <c:pt idx="17">
                  <c:v>7.8328981723237601E-2</c:v>
                </c:pt>
                <c:pt idx="18">
                  <c:v>7.9283887468030695E-2</c:v>
                </c:pt>
                <c:pt idx="19">
                  <c:v>8.3020753987038662E-2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0-4199-81C7-4A826455050B}"/>
            </c:ext>
          </c:extLst>
        </c:ser>
        <c:ser>
          <c:idx val="2"/>
          <c:order val="1"/>
          <c:tx>
            <c:strRef>
              <c:f>'IS common size'!$B$10</c:f>
              <c:strCache>
                <c:ptCount val="1"/>
                <c:pt idx="0">
                  <c:v>  Selling, general and administrative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'IS common size'!$C$4:$V$4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'IS common size'!$C$10:$V$10</c:f>
              <c:numCache>
                <c:formatCode>0%</c:formatCode>
                <c:ptCount val="20"/>
                <c:pt idx="0">
                  <c:v>0.12596427646906547</c:v>
                </c:pt>
                <c:pt idx="1">
                  <c:v>0.12342747646421728</c:v>
                </c:pt>
                <c:pt idx="2">
                  <c:v>0.10031740951161612</c:v>
                </c:pt>
                <c:pt idx="3">
                  <c:v>9.6702016082041722E-2</c:v>
                </c:pt>
                <c:pt idx="4">
                  <c:v>8.4584131851284036E-2</c:v>
                </c:pt>
                <c:pt idx="5">
                  <c:v>7.0199262810741903E-2</c:v>
                </c:pt>
                <c:pt idx="6">
                  <c:v>6.4150075395506934E-2</c:v>
                </c:pt>
                <c:pt idx="7">
                  <c:v>6.3366684219764796E-2</c:v>
                </c:pt>
                <c:pt idx="8">
                  <c:v>6.5609015563883044E-2</c:v>
                </c:pt>
                <c:pt idx="9">
                  <c:v>6.1309714823609952E-2</c:v>
                </c:pt>
                <c:pt idx="10">
                  <c:v>6.5822972653369755E-2</c:v>
                </c:pt>
                <c:pt idx="11">
                  <c:v>6.6573893924984945E-2</c:v>
                </c:pt>
                <c:pt idx="12">
                  <c:v>6.2896515371147793E-2</c:v>
                </c:pt>
                <c:pt idx="13">
                  <c:v>7.0126146348213125E-2</c:v>
                </c:pt>
                <c:pt idx="14">
                  <c:v>7.2549769593646979E-2</c:v>
                </c:pt>
                <c:pt idx="15">
                  <c:v>6.0065551901633873E-2</c:v>
                </c:pt>
                <c:pt idx="16">
                  <c:v>6.3451776649746189E-2</c:v>
                </c:pt>
                <c:pt idx="17">
                  <c:v>6.5274151436031339E-2</c:v>
                </c:pt>
                <c:pt idx="18">
                  <c:v>6.6496163682864456E-2</c:v>
                </c:pt>
                <c:pt idx="19">
                  <c:v>6.6322889458647005E-2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0-4199-81C7-4A826455050B}"/>
            </c:ext>
          </c:extLst>
        </c:ser>
        <c:ser>
          <c:idx val="3"/>
          <c:order val="2"/>
          <c:tx>
            <c:strRef>
              <c:f>'IS common size'!$B$14</c:f>
              <c:strCache>
                <c:ptCount val="1"/>
                <c:pt idx="0">
                  <c:v>Provision for income taxes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'IS common size'!$C$4:$V$4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'IS common size'!$C$14:$V$14</c:f>
              <c:numCache>
                <c:formatCode>0%</c:formatCode>
                <c:ptCount val="20"/>
                <c:pt idx="0">
                  <c:v>4.292001035464664E-2</c:v>
                </c:pt>
                <c:pt idx="1">
                  <c:v>6.2984253936515869E-2</c:v>
                </c:pt>
                <c:pt idx="2">
                  <c:v>7.5431436878184099E-2</c:v>
                </c:pt>
                <c:pt idx="3">
                  <c:v>8.9290292506700841E-2</c:v>
                </c:pt>
                <c:pt idx="4">
                  <c:v>6.9405902644691458E-2</c:v>
                </c:pt>
                <c:pt idx="5">
                  <c:v>7.6518027880165179E-2</c:v>
                </c:pt>
                <c:pt idx="6">
                  <c:v>8.9643979860454415E-2</c:v>
                </c:pt>
                <c:pt idx="7">
                  <c:v>7.6753847054005037E-2</c:v>
                </c:pt>
                <c:pt idx="8">
                  <c:v>7.6440821685494695E-2</c:v>
                </c:pt>
                <c:pt idx="9">
                  <c:v>8.181331964144363E-2</c:v>
                </c:pt>
                <c:pt idx="10">
                  <c:v>7.2737306331415008E-2</c:v>
                </c:pt>
                <c:pt idx="11">
                  <c:v>6.8654737080886777E-2</c:v>
                </c:pt>
                <c:pt idx="12">
                  <c:v>5.0347333345883767E-2</c:v>
                </c:pt>
                <c:pt idx="13">
                  <c:v>4.0284578781892122E-2</c:v>
                </c:pt>
                <c:pt idx="14">
                  <c:v>3.5262189679981057E-2</c:v>
                </c:pt>
                <c:pt idx="15">
                  <c:v>3.9711112386794485E-2</c:v>
                </c:pt>
                <c:pt idx="16">
                  <c:v>4.8984771573604063E-2</c:v>
                </c:pt>
                <c:pt idx="17">
                  <c:v>4.6997389033942558E-2</c:v>
                </c:pt>
                <c:pt idx="18">
                  <c:v>7.6726342710997444E-2</c:v>
                </c:pt>
                <c:pt idx="19">
                  <c:v>4.9786020314253381E-2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B0-4199-81C7-4A8264550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63902976"/>
        <c:axId val="163904512"/>
      </c:barChart>
      <c:catAx>
        <c:axId val="163902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904512"/>
        <c:crosses val="autoZero"/>
        <c:auto val="1"/>
        <c:lblAlgn val="ctr"/>
        <c:lblOffset val="100"/>
        <c:noMultiLvlLbl val="0"/>
      </c:catAx>
      <c:valAx>
        <c:axId val="163904512"/>
        <c:scaling>
          <c:orientation val="minMax"/>
          <c:max val="0.15000000000000002"/>
          <c:min val="0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902976"/>
        <c:crosses val="autoZero"/>
        <c:crossBetween val="between"/>
        <c:majorUnit val="5.000000000000001E-2"/>
      </c:valAx>
    </c:plotArea>
    <c:legend>
      <c:legendPos val="b"/>
      <c:layout>
        <c:manualLayout>
          <c:xMode val="edge"/>
          <c:yMode val="edge"/>
          <c:x val="3.1735114796819265E-2"/>
          <c:y val="0.90206697092799704"/>
          <c:w val="0.94058846333433788"/>
          <c:h val="7.2455322065633515E-2"/>
        </c:manualLayout>
      </c:layout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growth'!$B$5</c:f>
              <c:strCache>
                <c:ptCount val="1"/>
                <c:pt idx="0">
                  <c:v>Sales growth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'Sales and profit growth'!$D$4:$V$4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'Sales and profit growth'!$D$5:$V$5</c:f>
              <c:numCache>
                <c:formatCode>0%</c:formatCode>
                <c:ptCount val="19"/>
                <c:pt idx="0">
                  <c:v>0.24286823712140815</c:v>
                </c:pt>
                <c:pt idx="1">
                  <c:v>0.56173456635841035</c:v>
                </c:pt>
                <c:pt idx="2">
                  <c:v>0.14440799125123366</c:v>
                </c:pt>
                <c:pt idx="3">
                  <c:v>0.52021908868430233</c:v>
                </c:pt>
                <c:pt idx="4">
                  <c:v>0.65962437715599853</c:v>
                </c:pt>
                <c:pt idx="5">
                  <c:v>0.44581474193757004</c:v>
                </c:pt>
                <c:pt idx="6">
                  <c:v>9.2020855163953197E-2</c:v>
                </c:pt>
                <c:pt idx="7">
                  <c:v>6.953952372593758E-2</c:v>
                </c:pt>
                <c:pt idx="8">
                  <c:v>0.27856341803659851</c:v>
                </c:pt>
                <c:pt idx="9">
                  <c:v>-7.7342061913013682E-2</c:v>
                </c:pt>
                <c:pt idx="10">
                  <c:v>6.3045181993980667E-2</c:v>
                </c:pt>
                <c:pt idx="11">
                  <c:v>0.15861957650261313</c:v>
                </c:pt>
                <c:pt idx="12">
                  <c:v>-2.0410775805267602E-2</c:v>
                </c:pt>
                <c:pt idx="13">
                  <c:v>5.5120803769784871E-2</c:v>
                </c:pt>
                <c:pt idx="14">
                  <c:v>0.33259384733074704</c:v>
                </c:pt>
                <c:pt idx="15">
                  <c:v>7.7041252866870566E-2</c:v>
                </c:pt>
                <c:pt idx="16">
                  <c:v>-2.7918781725888325E-2</c:v>
                </c:pt>
                <c:pt idx="17">
                  <c:v>2.0887728459530026E-2</c:v>
                </c:pt>
                <c:pt idx="18">
                  <c:v>6.4350383631713554E-2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7-4B53-823F-ACC06EC51385}"/>
            </c:ext>
          </c:extLst>
        </c:ser>
        <c:ser>
          <c:idx val="1"/>
          <c:order val="1"/>
          <c:tx>
            <c:strRef>
              <c:f>'Sales and profit growth'!$B$6</c:f>
              <c:strCache>
                <c:ptCount val="1"/>
                <c:pt idx="0">
                  <c:v>Gross profit growth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'Sales and profit growth'!$D$4:$V$4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'Sales and profit growth'!$D$6:$V$6</c:f>
              <c:numCache>
                <c:formatCode>0%</c:formatCode>
                <c:ptCount val="19"/>
                <c:pt idx="0">
                  <c:v>0.45659163987138268</c:v>
                </c:pt>
                <c:pt idx="1">
                  <c:v>0.61846946284032367</c:v>
                </c:pt>
                <c:pt idx="2">
                  <c:v>0.30499355914222948</c:v>
                </c:pt>
                <c:pt idx="3">
                  <c:v>0.4913482754616188</c:v>
                </c:pt>
                <c:pt idx="4">
                  <c:v>0.70604267248092178</c:v>
                </c:pt>
                <c:pt idx="5">
                  <c:v>0.56698160573280409</c:v>
                </c:pt>
                <c:pt idx="6">
                  <c:v>-6.3470332935248078E-2</c:v>
                </c:pt>
                <c:pt idx="7">
                  <c:v>9.693020651903464E-2</c:v>
                </c:pt>
                <c:pt idx="8">
                  <c:v>0.32733175496547906</c:v>
                </c:pt>
                <c:pt idx="9">
                  <c:v>-0.10000427231751863</c:v>
                </c:pt>
                <c:pt idx="10">
                  <c:v>4.6556614409646008E-2</c:v>
                </c:pt>
                <c:pt idx="11">
                  <c:v>0.15482049304878315</c:v>
                </c:pt>
                <c:pt idx="12">
                  <c:v>-3.3847543671874258E-2</c:v>
                </c:pt>
                <c:pt idx="13">
                  <c:v>6.6712740873241805E-2</c:v>
                </c:pt>
                <c:pt idx="14">
                  <c:v>0.45619116582186831</c:v>
                </c:pt>
                <c:pt idx="15">
                  <c:v>0.11884634510193924</c:v>
                </c:pt>
                <c:pt idx="16">
                  <c:v>-1.1695906432748537E-2</c:v>
                </c:pt>
                <c:pt idx="17">
                  <c:v>7.1005917159763315E-2</c:v>
                </c:pt>
                <c:pt idx="18">
                  <c:v>7.845856353591156E-2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7-4B53-823F-ACC06EC51385}"/>
            </c:ext>
          </c:extLst>
        </c:ser>
        <c:ser>
          <c:idx val="2"/>
          <c:order val="2"/>
          <c:tx>
            <c:strRef>
              <c:f>'Sales and profit growth'!$B$7</c:f>
              <c:strCache>
                <c:ptCount val="1"/>
                <c:pt idx="0">
                  <c:v>Operating income growth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'Sales and profit growth'!$D$4:$V$4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'Sales and profit growth'!$D$7:$V$7</c:f>
              <c:numCache>
                <c:formatCode>0%</c:formatCode>
                <c:ptCount val="19"/>
                <c:pt idx="0">
                  <c:v>0.79739094985731762</c:v>
                </c:pt>
                <c:pt idx="1">
                  <c:v>0.88863687911090961</c:v>
                </c:pt>
                <c:pt idx="2">
                  <c:v>0.40987150234177977</c:v>
                </c:pt>
                <c:pt idx="3">
                  <c:v>0.56601362862010229</c:v>
                </c:pt>
                <c:pt idx="4">
                  <c:v>0.83791134076692941</c:v>
                </c:pt>
                <c:pt idx="5">
                  <c:v>0.63483279076649901</c:v>
                </c:pt>
                <c:pt idx="6">
                  <c:v>-0.11299578211835408</c:v>
                </c:pt>
                <c:pt idx="7">
                  <c:v>7.151166350333675E-2</c:v>
                </c:pt>
                <c:pt idx="8">
                  <c:v>0.35668437994019397</c:v>
                </c:pt>
                <c:pt idx="9">
                  <c:v>-0.15732135336234737</c:v>
                </c:pt>
                <c:pt idx="10">
                  <c:v>2.1991203518592569E-2</c:v>
                </c:pt>
                <c:pt idx="11">
                  <c:v>0.15574465310380795</c:v>
                </c:pt>
                <c:pt idx="12">
                  <c:v>-9.828203898558488E-2</c:v>
                </c:pt>
                <c:pt idx="13">
                  <c:v>3.6884091975598485E-2</c:v>
                </c:pt>
                <c:pt idx="14">
                  <c:v>0.64357048032826425</c:v>
                </c:pt>
                <c:pt idx="15">
                  <c:v>9.5925616572891975E-2</c:v>
                </c:pt>
                <c:pt idx="16">
                  <c:v>-4.5226130653266375E-2</c:v>
                </c:pt>
                <c:pt idx="17">
                  <c:v>8.0701754385964941E-2</c:v>
                </c:pt>
                <c:pt idx="18">
                  <c:v>7.9951298701298773E-2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7-4B53-823F-ACC06EC51385}"/>
            </c:ext>
          </c:extLst>
        </c:ser>
        <c:ser>
          <c:idx val="3"/>
          <c:order val="3"/>
          <c:tx>
            <c:strRef>
              <c:f>'Sales and profit growth'!$B$8</c:f>
              <c:strCache>
                <c:ptCount val="1"/>
                <c:pt idx="0">
                  <c:v>Net income growth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'Sales and profit growth'!$D$4:$V$4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'Sales and profit growth'!$D$8:$V$8</c:f>
              <c:numCache>
                <c:formatCode>0%</c:formatCode>
                <c:ptCount val="19"/>
                <c:pt idx="0">
                  <c:v>0.75766716943187518</c:v>
                </c:pt>
                <c:pt idx="1">
                  <c:v>0.75028604118993125</c:v>
                </c:pt>
                <c:pt idx="2">
                  <c:v>0.34580813858473602</c:v>
                </c:pt>
                <c:pt idx="3">
                  <c:v>0.70163934426229524</c:v>
                </c:pt>
                <c:pt idx="4">
                  <c:v>0.84985370727181908</c:v>
                </c:pt>
                <c:pt idx="5">
                  <c:v>0.60994522027621312</c:v>
                </c:pt>
                <c:pt idx="6">
                  <c:v>-0.1125248604222078</c:v>
                </c:pt>
                <c:pt idx="7">
                  <c:v>6.6771066771066742E-2</c:v>
                </c:pt>
                <c:pt idx="8">
                  <c:v>0.3514047076689446</c:v>
                </c:pt>
                <c:pt idx="9">
                  <c:v>-0.14434206090571977</c:v>
                </c:pt>
                <c:pt idx="10">
                  <c:v>5.8309803664062021E-2</c:v>
                </c:pt>
                <c:pt idx="11">
                  <c:v>0.23122582780087278</c:v>
                </c:pt>
                <c:pt idx="12">
                  <c:v>-7.1811325191916797E-2</c:v>
                </c:pt>
                <c:pt idx="13">
                  <c:v>3.9000289561314759E-2</c:v>
                </c:pt>
                <c:pt idx="14">
                  <c:v>0.64916131055024284</c:v>
                </c:pt>
                <c:pt idx="15">
                  <c:v>5.6189269117025695E-2</c:v>
                </c:pt>
                <c:pt idx="16">
                  <c:v>-0.03</c:v>
                </c:pt>
                <c:pt idx="17">
                  <c:v>-3.4020618556701E-2</c:v>
                </c:pt>
                <c:pt idx="18">
                  <c:v>0.1954108858057631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17-4B53-823F-ACC06EC5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724288"/>
        <c:axId val="163730176"/>
      </c:barChart>
      <c:catAx>
        <c:axId val="163724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730176"/>
        <c:crosses val="autoZero"/>
        <c:auto val="1"/>
        <c:lblAlgn val="ctr"/>
        <c:lblOffset val="100"/>
        <c:noMultiLvlLbl val="0"/>
      </c:catAx>
      <c:valAx>
        <c:axId val="1637301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72428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'BS common size'!$B$6</c:f>
              <c:strCache>
                <c:ptCount val="1"/>
                <c:pt idx="0">
                  <c:v>    Cash and cash equivalents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size'!$C$6:$V$6</c:f>
              <c:numCache>
                <c:formatCode>0%</c:formatCode>
                <c:ptCount val="20"/>
                <c:pt idx="0">
                  <c:v>0.37151990700377802</c:v>
                </c:pt>
                <c:pt idx="1">
                  <c:v>0.36895885114609223</c:v>
                </c:pt>
                <c:pt idx="2">
                  <c:v>0.30008591933690487</c:v>
                </c:pt>
                <c:pt idx="3">
                  <c:v>0.11079766741752806</c:v>
                </c:pt>
                <c:pt idx="4">
                  <c:v>0.1497812005373555</c:v>
                </c:pt>
                <c:pt idx="5">
                  <c:v>8.4342318962628143E-2</c:v>
                </c:pt>
                <c:pt idx="6">
                  <c:v>6.1034623773173396E-2</c:v>
                </c:pt>
                <c:pt idx="7">
                  <c:v>6.888405797101449E-2</c:v>
                </c:pt>
                <c:pt idx="8">
                  <c:v>5.9713853148089836E-2</c:v>
                </c:pt>
                <c:pt idx="9">
                  <c:v>7.2707493484899091E-2</c:v>
                </c:pt>
                <c:pt idx="10">
                  <c:v>6.3677001796783206E-2</c:v>
                </c:pt>
                <c:pt idx="11">
                  <c:v>5.4058014648872027E-2</c:v>
                </c:pt>
                <c:pt idx="12">
                  <c:v>7.085378358055916E-2</c:v>
                </c:pt>
                <c:pt idx="13">
                  <c:v>0.1442886008342294</c:v>
                </c:pt>
                <c:pt idx="14">
                  <c:v>0.11737390702959048</c:v>
                </c:pt>
                <c:pt idx="15">
                  <c:v>9.9543592344203152E-2</c:v>
                </c:pt>
                <c:pt idx="16">
                  <c:v>6.7032359569673003E-2</c:v>
                </c:pt>
                <c:pt idx="17">
                  <c:v>8.4985835694050993E-2</c:v>
                </c:pt>
                <c:pt idx="18">
                  <c:v>8.2191780821917804E-2</c:v>
                </c:pt>
                <c:pt idx="19">
                  <c:v>0.10002755810166435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3-4518-A91B-B07054DC1619}"/>
            </c:ext>
          </c:extLst>
        </c:ser>
        <c:ser>
          <c:idx val="1"/>
          <c:order val="1"/>
          <c:tx>
            <c:strRef>
              <c:f>'BS common size'!$B$7</c:f>
              <c:strCache>
                <c:ptCount val="1"/>
                <c:pt idx="0">
                  <c:v>    Short-term marketable securities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size'!$C$7:$V$7</c:f>
              <c:numCache>
                <c:formatCode>0%</c:formatCode>
                <c:ptCount val="20"/>
                <c:pt idx="0">
                  <c:v>0.21609997093868064</c:v>
                </c:pt>
                <c:pt idx="1">
                  <c:v>0.23805578569455949</c:v>
                </c:pt>
                <c:pt idx="2">
                  <c:v>0.25866774487011018</c:v>
                </c:pt>
                <c:pt idx="3">
                  <c:v>0.38317088061303978</c:v>
                </c:pt>
                <c:pt idx="4">
                  <c:v>0.19098732426213372</c:v>
                </c:pt>
                <c:pt idx="5">
                  <c:v>0.13866856862964141</c:v>
                </c:pt>
                <c:pt idx="6">
                  <c:v>0.10441089603780443</c:v>
                </c:pt>
                <c:pt idx="7">
                  <c:v>0.1269903381642512</c:v>
                </c:pt>
                <c:pt idx="8">
                  <c:v>4.8451727276256372E-2</c:v>
                </c:pt>
                <c:pt idx="9">
                  <c:v>7.0507678696222459E-2</c:v>
                </c:pt>
                <c:pt idx="10">
                  <c:v>0.14508247172708791</c:v>
                </c:pt>
                <c:pt idx="11">
                  <c:v>0.14358985289846771</c:v>
                </c:pt>
                <c:pt idx="12">
                  <c:v>0.11043270216692869</c:v>
                </c:pt>
                <c:pt idx="13">
                  <c:v>0.15276382800222146</c:v>
                </c:pt>
                <c:pt idx="14">
                  <c:v>0.1634114261720101</c:v>
                </c:pt>
                <c:pt idx="15">
                  <c:v>7.8914080261650935E-2</c:v>
                </c:pt>
                <c:pt idx="16">
                  <c:v>6.9901206219614181E-2</c:v>
                </c:pt>
                <c:pt idx="17">
                  <c:v>9.0651558073654395E-2</c:v>
                </c:pt>
                <c:pt idx="18">
                  <c:v>9.5890410958904104E-2</c:v>
                </c:pt>
                <c:pt idx="19">
                  <c:v>5.2229561770510614E-2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3-4518-A91B-B07054DC1619}"/>
            </c:ext>
          </c:extLst>
        </c:ser>
        <c:ser>
          <c:idx val="2"/>
          <c:order val="2"/>
          <c:tx>
            <c:strRef>
              <c:f>'BS common size'!$B$15</c:f>
              <c:strCache>
                <c:ptCount val="1"/>
                <c:pt idx="0">
                  <c:v>  Long-term marketable securities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size'!$C$15:$V$15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6.0118265440210247E-2</c:v>
                </c:pt>
                <c:pt idx="3">
                  <c:v>0.22163743921180609</c:v>
                </c:pt>
                <c:pt idx="4">
                  <c:v>0.33772262346541099</c:v>
                </c:pt>
                <c:pt idx="5">
                  <c:v>0.47793694305282247</c:v>
                </c:pt>
                <c:pt idx="6">
                  <c:v>0.52323018902217378</c:v>
                </c:pt>
                <c:pt idx="7">
                  <c:v>0.51311594202898547</c:v>
                </c:pt>
                <c:pt idx="8">
                  <c:v>0.56143271839509312</c:v>
                </c:pt>
                <c:pt idx="9">
                  <c:v>0.56480847152461966</c:v>
                </c:pt>
                <c:pt idx="10">
                  <c:v>0.52980235384816254</c:v>
                </c:pt>
                <c:pt idx="11">
                  <c:v>0.51879601086009497</c:v>
                </c:pt>
                <c:pt idx="12">
                  <c:v>0.46701483354979834</c:v>
                </c:pt>
                <c:pt idx="13">
                  <c:v>0.3111847002800458</c:v>
                </c:pt>
                <c:pt idx="14">
                  <c:v>0.31148730425332216</c:v>
                </c:pt>
                <c:pt idx="15">
                  <c:v>0.36431986142529099</c:v>
                </c:pt>
                <c:pt idx="16">
                  <c:v>0.34246148176496438</c:v>
                </c:pt>
                <c:pt idx="17">
                  <c:v>0.28611898016997167</c:v>
                </c:pt>
                <c:pt idx="18">
                  <c:v>0.24931506849315069</c:v>
                </c:pt>
                <c:pt idx="19">
                  <c:v>0.21635336723814932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3-4518-A91B-B07054DC1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62870400"/>
        <c:axId val="162871936"/>
      </c:barChart>
      <c:catAx>
        <c:axId val="162870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871936"/>
        <c:crosses val="autoZero"/>
        <c:auto val="1"/>
        <c:lblAlgn val="ctr"/>
        <c:lblOffset val="100"/>
        <c:noMultiLvlLbl val="0"/>
      </c:catAx>
      <c:valAx>
        <c:axId val="1628719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8704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225750994162295E-2"/>
          <c:y val="0.80115072149118716"/>
          <c:w val="0.93336504638033124"/>
          <c:h val="0.16796123510016725"/>
        </c:manualLayout>
      </c:layout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'BS common size'!$B$40</c:f>
              <c:strCache>
                <c:ptCount val="1"/>
                <c:pt idx="0">
                  <c:v>Cash + ST + LT investments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size'!$C$40:$V$40</c:f>
              <c:numCache>
                <c:formatCode>0%</c:formatCode>
                <c:ptCount val="20"/>
                <c:pt idx="0">
                  <c:v>0.58761987794245862</c:v>
                </c:pt>
                <c:pt idx="1">
                  <c:v>0.60701463684065171</c:v>
                </c:pt>
                <c:pt idx="2">
                  <c:v>0.61887192964722526</c:v>
                </c:pt>
                <c:pt idx="3">
                  <c:v>0.7156059872423739</c:v>
                </c:pt>
                <c:pt idx="4">
                  <c:v>0.6784911482649002</c:v>
                </c:pt>
                <c:pt idx="5">
                  <c:v>0.70094783064509203</c:v>
                </c:pt>
                <c:pt idx="6">
                  <c:v>0.68867570883315166</c:v>
                </c:pt>
                <c:pt idx="7">
                  <c:v>0.70899033816425117</c:v>
                </c:pt>
                <c:pt idx="8">
                  <c:v>0.66959829881943933</c:v>
                </c:pt>
                <c:pt idx="9">
                  <c:v>0.70802364370574122</c:v>
                </c:pt>
                <c:pt idx="10">
                  <c:v>0.73856182737203369</c:v>
                </c:pt>
                <c:pt idx="11">
                  <c:v>0.71644387840743473</c:v>
                </c:pt>
                <c:pt idx="12">
                  <c:v>0.64830131929728618</c:v>
                </c:pt>
                <c:pt idx="13">
                  <c:v>0.60823712911649674</c:v>
                </c:pt>
                <c:pt idx="14">
                  <c:v>0.59227263745492276</c:v>
                </c:pt>
                <c:pt idx="15">
                  <c:v>0.54277753403114515</c:v>
                </c:pt>
                <c:pt idx="16">
                  <c:v>0.47939504755425155</c:v>
                </c:pt>
                <c:pt idx="17">
                  <c:v>0.46175637393767704</c:v>
                </c:pt>
                <c:pt idx="18">
                  <c:v>0.42739726027397262</c:v>
                </c:pt>
                <c:pt idx="19">
                  <c:v>0.36861048711032429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C-468E-9B53-BE0F81DBF925}"/>
            </c:ext>
          </c:extLst>
        </c:ser>
        <c:ser>
          <c:idx val="2"/>
          <c:order val="1"/>
          <c:tx>
            <c:strRef>
              <c:f>'BS common size'!$B$33</c:f>
              <c:strCache>
                <c:ptCount val="1"/>
                <c:pt idx="0">
                  <c:v>  Total shareholders' equity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size'!$C$33:$V$33</c:f>
              <c:numCache>
                <c:formatCode>0%</c:formatCode>
                <c:ptCount val="20"/>
                <c:pt idx="0">
                  <c:v>0.58029642545771587</c:v>
                </c:pt>
                <c:pt idx="1">
                  <c:v>0.57332228666114327</c:v>
                </c:pt>
                <c:pt idx="2">
                  <c:v>0.531436369149904</c:v>
                </c:pt>
                <c:pt idx="3">
                  <c:v>0.66609124018441723</c:v>
                </c:pt>
                <c:pt idx="4">
                  <c:v>0.63566231727917211</c:v>
                </c:pt>
                <c:pt idx="5">
                  <c:v>0.65836849386874741</c:v>
                </c:pt>
                <c:pt idx="6">
                  <c:v>0.67140358051617588</c:v>
                </c:pt>
                <c:pt idx="7">
                  <c:v>0.59685507246376812</c:v>
                </c:pt>
                <c:pt idx="8">
                  <c:v>0.48113992900245428</c:v>
                </c:pt>
                <c:pt idx="9">
                  <c:v>0.41089028811032813</c:v>
                </c:pt>
                <c:pt idx="10">
                  <c:v>0.39867759243485884</c:v>
                </c:pt>
                <c:pt idx="11">
                  <c:v>0.35715484694353333</c:v>
                </c:pt>
                <c:pt idx="12">
                  <c:v>0.2929714949757331</c:v>
                </c:pt>
                <c:pt idx="13">
                  <c:v>0.26730789682023892</c:v>
                </c:pt>
                <c:pt idx="14">
                  <c:v>0.20173331522007609</c:v>
                </c:pt>
                <c:pt idx="15">
                  <c:v>0.17974256556942697</c:v>
                </c:pt>
                <c:pt idx="16">
                  <c:v>0.14364644016385308</c:v>
                </c:pt>
                <c:pt idx="17">
                  <c:v>0.17563739376770537</c:v>
                </c:pt>
                <c:pt idx="18">
                  <c:v>0.15616438356164383</c:v>
                </c:pt>
                <c:pt idx="19">
                  <c:v>0.20524661717342957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C-468E-9B53-BE0F81DBF925}"/>
            </c:ext>
          </c:extLst>
        </c:ser>
        <c:ser>
          <c:idx val="1"/>
          <c:order val="2"/>
          <c:tx>
            <c:strRef>
              <c:f>'BS common size'!$B$42</c:f>
              <c:strCache>
                <c:ptCount val="1"/>
                <c:pt idx="0">
                  <c:v>Total debt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size'!$C$42:$V$42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8.1932367149758462E-2</c:v>
                </c:pt>
                <c:pt idx="8">
                  <c:v>0.15223926949305336</c:v>
                </c:pt>
                <c:pt idx="9">
                  <c:v>0.2219162142530097</c:v>
                </c:pt>
                <c:pt idx="10">
                  <c:v>0.27054954210006033</c:v>
                </c:pt>
                <c:pt idx="11">
                  <c:v>0.30821780938348442</c:v>
                </c:pt>
                <c:pt idx="12">
                  <c:v>0.31303028231594776</c:v>
                </c:pt>
                <c:pt idx="13">
                  <c:v>0.31917841401883518</c:v>
                </c:pt>
                <c:pt idx="14">
                  <c:v>0.34714469199229364</c:v>
                </c:pt>
                <c:pt idx="15">
                  <c:v>0.35528572486766458</c:v>
                </c:pt>
                <c:pt idx="16">
                  <c:v>0.34037504783773442</c:v>
                </c:pt>
                <c:pt idx="17">
                  <c:v>0.31444759206798867</c:v>
                </c:pt>
                <c:pt idx="18">
                  <c:v>0.29315068493150687</c:v>
                </c:pt>
                <c:pt idx="19">
                  <c:v>0.27462622584838592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CC-468E-9B53-BE0F81DB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62897280"/>
        <c:axId val="162903168"/>
      </c:barChart>
      <c:catAx>
        <c:axId val="162897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903168"/>
        <c:crosses val="autoZero"/>
        <c:auto val="1"/>
        <c:lblAlgn val="ctr"/>
        <c:lblOffset val="100"/>
        <c:noMultiLvlLbl val="0"/>
      </c:catAx>
      <c:valAx>
        <c:axId val="1629031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8972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'BS common size'!$B$40</c:f>
              <c:strCache>
                <c:ptCount val="1"/>
                <c:pt idx="0">
                  <c:v>Cash + ST + LT investments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size'!$C$40:$V$40</c:f>
              <c:numCache>
                <c:formatCode>0%</c:formatCode>
                <c:ptCount val="20"/>
                <c:pt idx="0">
                  <c:v>0.58761987794245862</c:v>
                </c:pt>
                <c:pt idx="1">
                  <c:v>0.60701463684065171</c:v>
                </c:pt>
                <c:pt idx="2">
                  <c:v>0.61887192964722526</c:v>
                </c:pt>
                <c:pt idx="3">
                  <c:v>0.7156059872423739</c:v>
                </c:pt>
                <c:pt idx="4">
                  <c:v>0.6784911482649002</c:v>
                </c:pt>
                <c:pt idx="5">
                  <c:v>0.70094783064509203</c:v>
                </c:pt>
                <c:pt idx="6">
                  <c:v>0.68867570883315166</c:v>
                </c:pt>
                <c:pt idx="7">
                  <c:v>0.70899033816425117</c:v>
                </c:pt>
                <c:pt idx="8">
                  <c:v>0.66959829881943933</c:v>
                </c:pt>
                <c:pt idx="9">
                  <c:v>0.70802364370574122</c:v>
                </c:pt>
                <c:pt idx="10">
                  <c:v>0.73856182737203369</c:v>
                </c:pt>
                <c:pt idx="11">
                  <c:v>0.71644387840743473</c:v>
                </c:pt>
                <c:pt idx="12">
                  <c:v>0.64830131929728618</c:v>
                </c:pt>
                <c:pt idx="13">
                  <c:v>0.60823712911649674</c:v>
                </c:pt>
                <c:pt idx="14">
                  <c:v>0.59227263745492276</c:v>
                </c:pt>
                <c:pt idx="15">
                  <c:v>0.54277753403114515</c:v>
                </c:pt>
                <c:pt idx="16">
                  <c:v>0.47939504755425155</c:v>
                </c:pt>
                <c:pt idx="17">
                  <c:v>0.46175637393767704</c:v>
                </c:pt>
                <c:pt idx="18">
                  <c:v>0.42739726027397262</c:v>
                </c:pt>
                <c:pt idx="19">
                  <c:v>0.36861048711032429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8-4CCC-A0C2-1ACE73A4DDAF}"/>
            </c:ext>
          </c:extLst>
        </c:ser>
        <c:ser>
          <c:idx val="1"/>
          <c:order val="1"/>
          <c:tx>
            <c:strRef>
              <c:f>'BS common size'!$B$16</c:f>
              <c:strCache>
                <c:ptCount val="1"/>
                <c:pt idx="0">
                  <c:v>  Property, plant and equipment, net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size'!$C$16:$V$16</c:f>
              <c:numCache>
                <c:formatCode>0%</c:formatCode>
                <c:ptCount val="20"/>
                <c:pt idx="0">
                  <c:v>7.4455100261551874E-2</c:v>
                </c:pt>
                <c:pt idx="1">
                  <c:v>7.2276798043160922E-2</c:v>
                </c:pt>
                <c:pt idx="2">
                  <c:v>6.2038815323966441E-2</c:v>
                </c:pt>
                <c:pt idx="3">
                  <c:v>6.2188164459695591E-2</c:v>
                </c:pt>
                <c:pt idx="4">
                  <c:v>6.3418591968929142E-2</c:v>
                </c:pt>
                <c:pt idx="5">
                  <c:v>6.6829364704264815E-2</c:v>
                </c:pt>
                <c:pt idx="6">
                  <c:v>8.7763540530716111E-2</c:v>
                </c:pt>
                <c:pt idx="7">
                  <c:v>8.0178743961352661E-2</c:v>
                </c:pt>
                <c:pt idx="8">
                  <c:v>8.8958285706891418E-2</c:v>
                </c:pt>
                <c:pt idx="9">
                  <c:v>7.7358432106968147E-2</c:v>
                </c:pt>
                <c:pt idx="10">
                  <c:v>8.3963865384256708E-2</c:v>
                </c:pt>
                <c:pt idx="11">
                  <c:v>9.0011430276644669E-2</c:v>
                </c:pt>
                <c:pt idx="12">
                  <c:v>0.11293731628956183</c:v>
                </c:pt>
                <c:pt idx="13">
                  <c:v>0.11041723286343924</c:v>
                </c:pt>
                <c:pt idx="14">
                  <c:v>0.11351454823889739</c:v>
                </c:pt>
                <c:pt idx="15">
                  <c:v>0.11236403211377712</c:v>
                </c:pt>
                <c:pt idx="16">
                  <c:v>0.11939448058851043</c:v>
                </c:pt>
                <c:pt idx="17">
                  <c:v>0.12464589235127478</c:v>
                </c:pt>
                <c:pt idx="18">
                  <c:v>0.12602739726027398</c:v>
                </c:pt>
                <c:pt idx="19">
                  <c:v>0.1387202462970541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8-4CCC-A0C2-1ACE73A4DDAF}"/>
            </c:ext>
          </c:extLst>
        </c:ser>
        <c:ser>
          <c:idx val="2"/>
          <c:order val="2"/>
          <c:tx>
            <c:strRef>
              <c:f>'BS common size'!$B$43</c:f>
              <c:strCache>
                <c:ptCount val="1"/>
                <c:pt idx="0">
                  <c:v>Goodwill and Intangible assets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size'!$C$43:$U$43</c:f>
              <c:numCache>
                <c:formatCode>0%</c:formatCode>
                <c:ptCount val="19"/>
                <c:pt idx="0">
                  <c:v>1.0287707061900613E-2</c:v>
                </c:pt>
                <c:pt idx="1">
                  <c:v>1.3295459028681893E-2</c:v>
                </c:pt>
                <c:pt idx="2">
                  <c:v>1.2433033458000606E-2</c:v>
                </c:pt>
                <c:pt idx="3">
                  <c:v>9.536641333866655E-3</c:v>
                </c:pt>
                <c:pt idx="4">
                  <c:v>1.4404852160727823E-2</c:v>
                </c:pt>
                <c:pt idx="5">
                  <c:v>3.8085089927903E-2</c:v>
                </c:pt>
                <c:pt idx="6">
                  <c:v>3.0437795347146496E-2</c:v>
                </c:pt>
                <c:pt idx="7">
                  <c:v>2.7806763285024155E-2</c:v>
                </c:pt>
                <c:pt idx="8">
                  <c:v>3.7776215390853136E-2</c:v>
                </c:pt>
                <c:pt idx="9">
                  <c:v>3.1014290189652266E-2</c:v>
                </c:pt>
                <c:pt idx="10">
                  <c:v>2.6796316905305175E-2</c:v>
                </c:pt>
                <c:pt idx="11">
                  <c:v>2.1355167204431428E-2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8-4CCC-A0C2-1ACE73A4D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63003776"/>
        <c:axId val="163013760"/>
      </c:barChart>
      <c:catAx>
        <c:axId val="163003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013760"/>
        <c:crosses val="autoZero"/>
        <c:auto val="1"/>
        <c:lblAlgn val="ctr"/>
        <c:lblOffset val="100"/>
        <c:noMultiLvlLbl val="0"/>
      </c:catAx>
      <c:valAx>
        <c:axId val="1630137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0037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0324025430887069E-3"/>
          <c:y val="0.77800886958095761"/>
          <c:w val="0.98393503009925953"/>
          <c:h val="0.18750837179835278"/>
        </c:manualLayout>
      </c:layout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'BS common size'!$B$41</c:f>
              <c:strCache>
                <c:ptCount val="1"/>
                <c:pt idx="0">
                  <c:v>Total AR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size'!$C$41:$V$41</c:f>
              <c:numCache>
                <c:formatCode>0%</c:formatCode>
                <c:ptCount val="20"/>
                <c:pt idx="0">
                  <c:v>7.2769543737285683E-2</c:v>
                </c:pt>
                <c:pt idx="1">
                  <c:v>6.4583579910837574E-2</c:v>
                </c:pt>
                <c:pt idx="2">
                  <c:v>6.1204892348124935E-2</c:v>
                </c:pt>
                <c:pt idx="3">
                  <c:v>0.10646091661228185</c:v>
                </c:pt>
                <c:pt idx="4">
                  <c:v>0.13199792506284663</c:v>
                </c:pt>
                <c:pt idx="5">
                  <c:v>0.10068659717627243</c:v>
                </c:pt>
                <c:pt idx="6">
                  <c:v>0.10616593965830606</c:v>
                </c:pt>
                <c:pt idx="7">
                  <c:v>9.9714975845410628E-2</c:v>
                </c:pt>
                <c:pt idx="8">
                  <c:v>0.11740475071062247</c:v>
                </c:pt>
                <c:pt idx="9">
                  <c:v>0.10445849786043054</c:v>
                </c:pt>
                <c:pt idx="10">
                  <c:v>9.1079499884981013E-2</c:v>
                </c:pt>
                <c:pt idx="11">
                  <c:v>9.504714656065906E-2</c:v>
                </c:pt>
                <c:pt idx="12">
                  <c:v>0.13396677831704148</c:v>
                </c:pt>
                <c:pt idx="13">
                  <c:v>0.13530822767609213</c:v>
                </c:pt>
                <c:pt idx="14">
                  <c:v>0.11561095193400189</c:v>
                </c:pt>
                <c:pt idx="15">
                  <c:v>0.14673990461592812</c:v>
                </c:pt>
                <c:pt idx="16">
                  <c:v>0.17344615951581127</c:v>
                </c:pt>
                <c:pt idx="17">
                  <c:v>0.17563739376770537</c:v>
                </c:pt>
                <c:pt idx="18">
                  <c:v>0.18082191780821918</c:v>
                </c:pt>
                <c:pt idx="19">
                  <c:v>0.20308650738640635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E-4B5E-9C60-FE102CA5015C}"/>
            </c:ext>
          </c:extLst>
        </c:ser>
        <c:ser>
          <c:idx val="1"/>
          <c:order val="1"/>
          <c:tx>
            <c:strRef>
              <c:f>'BS common size'!$B$9</c:f>
              <c:strCache>
                <c:ptCount val="1"/>
                <c:pt idx="0">
                  <c:v> Inventories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size'!$C$9:$V$9</c:f>
              <c:numCache>
                <c:formatCode>0%</c:formatCode>
                <c:ptCount val="20"/>
                <c:pt idx="0">
                  <c:v>1.5693112467306019E-2</c:v>
                </c:pt>
                <c:pt idx="1">
                  <c:v>1.3650530634789125E-2</c:v>
                </c:pt>
                <c:pt idx="2">
                  <c:v>1.2862630142525018E-2</c:v>
                </c:pt>
                <c:pt idx="3">
                  <c:v>9.578745710616619E-3</c:v>
                </c:pt>
                <c:pt idx="4">
                  <c:v>1.3979224026708164E-2</c:v>
                </c:pt>
                <c:pt idx="5">
                  <c:v>6.6683280198674933E-3</c:v>
                </c:pt>
                <c:pt idx="6">
                  <c:v>4.4926844783715015E-3</c:v>
                </c:pt>
                <c:pt idx="7">
                  <c:v>8.5217391304347832E-3</c:v>
                </c:pt>
                <c:pt idx="8">
                  <c:v>9.1054568040752435E-3</c:v>
                </c:pt>
                <c:pt idx="9">
                  <c:v>8.0866430964028398E-3</c:v>
                </c:pt>
                <c:pt idx="10">
                  <c:v>6.6275809329594702E-3</c:v>
                </c:pt>
                <c:pt idx="11">
                  <c:v>1.2935662729571378E-2</c:v>
                </c:pt>
                <c:pt idx="12">
                  <c:v>1.0816870599494155E-2</c:v>
                </c:pt>
                <c:pt idx="13">
                  <c:v>1.2129411903720945E-2</c:v>
                </c:pt>
                <c:pt idx="14">
                  <c:v>1.2538284839203676E-2</c:v>
                </c:pt>
                <c:pt idx="15">
                  <c:v>1.8746331929732594E-2</c:v>
                </c:pt>
                <c:pt idx="16">
                  <c:v>1.4021062777281683E-2</c:v>
                </c:pt>
                <c:pt idx="17">
                  <c:v>1.69971671388102E-2</c:v>
                </c:pt>
                <c:pt idx="18">
                  <c:v>1.9178082191780823E-2</c:v>
                </c:pt>
                <c:pt idx="19">
                  <c:v>1.5916891446132262E-2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E-4B5E-9C60-FE102CA5015C}"/>
            </c:ext>
          </c:extLst>
        </c:ser>
        <c:ser>
          <c:idx val="2"/>
          <c:order val="2"/>
          <c:tx>
            <c:strRef>
              <c:f>'BS common size'!$B$23</c:f>
              <c:strCache>
                <c:ptCount val="1"/>
                <c:pt idx="0">
                  <c:v>Accounts payable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size'!$C$23:$V$23</c:f>
              <c:numCache>
                <c:formatCode>0%</c:formatCode>
                <c:ptCount val="20"/>
                <c:pt idx="0">
                  <c:v>0.19703574542284222</c:v>
                </c:pt>
                <c:pt idx="1">
                  <c:v>0.19607843137254899</c:v>
                </c:pt>
                <c:pt idx="2">
                  <c:v>0.13949257050439703</c:v>
                </c:pt>
                <c:pt idx="3">
                  <c:v>0.11791330708827183</c:v>
                </c:pt>
                <c:pt idx="4">
                  <c:v>0.15981006344519372</c:v>
                </c:pt>
                <c:pt idx="5">
                  <c:v>0.12573579328183138</c:v>
                </c:pt>
                <c:pt idx="6">
                  <c:v>0.1202687659033079</c:v>
                </c:pt>
                <c:pt idx="7">
                  <c:v>0.10805314009661836</c:v>
                </c:pt>
                <c:pt idx="8">
                  <c:v>0.13024555834005497</c:v>
                </c:pt>
                <c:pt idx="9">
                  <c:v>0.12217750680772105</c:v>
                </c:pt>
                <c:pt idx="10">
                  <c:v>0.11593292838357902</c:v>
                </c:pt>
                <c:pt idx="11">
                  <c:v>0.13068616297069957</c:v>
                </c:pt>
                <c:pt idx="12">
                  <c:v>0.15281427301934511</c:v>
                </c:pt>
                <c:pt idx="13">
                  <c:v>0.1365843859669853</c:v>
                </c:pt>
                <c:pt idx="14">
                  <c:v>0.13058835152892359</c:v>
                </c:pt>
                <c:pt idx="15">
                  <c:v>0.1560190540224842</c:v>
                </c:pt>
                <c:pt idx="16">
                  <c:v>0.18175504245155985</c:v>
                </c:pt>
                <c:pt idx="17">
                  <c:v>0.17847025495750707</c:v>
                </c:pt>
                <c:pt idx="18">
                  <c:v>0.18904109589041096</c:v>
                </c:pt>
                <c:pt idx="19">
                  <c:v>0.19446555376474289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EE-4B5E-9C60-FE102CA5015C}"/>
            </c:ext>
          </c:extLst>
        </c:ser>
        <c:ser>
          <c:idx val="3"/>
          <c:order val="3"/>
          <c:tx>
            <c:strRef>
              <c:f>'BS common size'!$B$24</c:f>
              <c:strCache>
                <c:ptCount val="1"/>
                <c:pt idx="0">
                  <c:v> Accrued expenses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'BS common size'!$C$3:$V$3</c:f>
              <c:strCache>
                <c:ptCount val="20"/>
                <c:pt idx="0">
                  <c:v>Sep '06</c:v>
                </c:pt>
                <c:pt idx="1">
                  <c:v>Sep '07</c:v>
                </c:pt>
                <c:pt idx="2">
                  <c:v>Sep '08</c:v>
                </c:pt>
                <c:pt idx="3">
                  <c:v>Sep '09</c:v>
                </c:pt>
                <c:pt idx="4">
                  <c:v>Sep '10</c:v>
                </c:pt>
                <c:pt idx="5">
                  <c:v>Sep '11</c:v>
                </c:pt>
                <c:pt idx="6">
                  <c:v>Sep '12</c:v>
                </c:pt>
                <c:pt idx="7">
                  <c:v>Sep '13</c:v>
                </c:pt>
                <c:pt idx="8">
                  <c:v>Sep '14</c:v>
                </c:pt>
                <c:pt idx="9">
                  <c:v>Sep '15</c:v>
                </c:pt>
                <c:pt idx="10">
                  <c:v>Sep '16</c:v>
                </c:pt>
                <c:pt idx="11">
                  <c:v>Sep '17</c:v>
                </c:pt>
                <c:pt idx="12">
                  <c:v>Sep '18</c:v>
                </c:pt>
                <c:pt idx="13">
                  <c:v>Sep '19</c:v>
                </c:pt>
                <c:pt idx="14">
                  <c:v>Sep '20</c:v>
                </c:pt>
                <c:pt idx="15">
                  <c:v>Sep '21</c:v>
                </c:pt>
                <c:pt idx="16">
                  <c:v>Sep '22</c:v>
                </c:pt>
                <c:pt idx="17">
                  <c:v>Sep '23</c:v>
                </c:pt>
                <c:pt idx="18">
                  <c:v>Sep '24</c:v>
                </c:pt>
                <c:pt idx="19">
                  <c:v>Sep '25</c:v>
                </c:pt>
              </c:strCache>
            </c:strRef>
          </c:cat>
          <c:val>
            <c:numRef>
              <c:f>'BS common size'!$C$24:$V$24</c:f>
              <c:numCache>
                <c:formatCode>0%</c:formatCode>
                <c:ptCount val="20"/>
                <c:pt idx="0">
                  <c:v>0.17744841615809359</c:v>
                </c:pt>
                <c:pt idx="1">
                  <c:v>0.17003984692468535</c:v>
                </c:pt>
                <c:pt idx="2">
                  <c:v>0.21661781057313248</c:v>
                </c:pt>
                <c:pt idx="3">
                  <c:v>0.12431317235426624</c:v>
                </c:pt>
                <c:pt idx="4">
                  <c:v>0.1158107550909115</c:v>
                </c:pt>
                <c:pt idx="5">
                  <c:v>0.11461618444457812</c:v>
                </c:pt>
                <c:pt idx="6">
                  <c:v>9.8640267175572532E-2</c:v>
                </c:pt>
                <c:pt idx="7">
                  <c:v>0.10285507246376811</c:v>
                </c:pt>
                <c:pt idx="8">
                  <c:v>0.11621858272335543</c:v>
                </c:pt>
                <c:pt idx="9">
                  <c:v>0.11746460157188644</c:v>
                </c:pt>
                <c:pt idx="10">
                  <c:v>9.3591266017172034E-2</c:v>
                </c:pt>
                <c:pt idx="11">
                  <c:v>8.8703209802861033E-2</c:v>
                </c:pt>
                <c:pt idx="12">
                  <c:v>0.1100006835737234</c:v>
                </c:pt>
                <c:pt idx="13">
                  <c:v>0.12773990003426719</c:v>
                </c:pt>
                <c:pt idx="14">
                  <c:v>0.13178629649755472</c:v>
                </c:pt>
                <c:pt idx="15">
                  <c:v>0.13530692132808361</c:v>
                </c:pt>
                <c:pt idx="16">
                  <c:v>0.17248515258465508</c:v>
                </c:pt>
                <c:pt idx="17">
                  <c:v>0.16713881019830029</c:v>
                </c:pt>
                <c:pt idx="18">
                  <c:v>0.21369863013698631</c:v>
                </c:pt>
                <c:pt idx="19">
                  <c:v>0.18479794900916099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EE-4B5E-9C60-FE102CA50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63046144"/>
        <c:axId val="163047680"/>
      </c:barChart>
      <c:catAx>
        <c:axId val="16304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047680"/>
        <c:crosses val="autoZero"/>
        <c:auto val="1"/>
        <c:lblAlgn val="ctr"/>
        <c:lblOffset val="100"/>
        <c:noMultiLvlLbl val="0"/>
      </c:catAx>
      <c:valAx>
        <c:axId val="163047680"/>
        <c:scaling>
          <c:orientation val="minMax"/>
          <c:max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04614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'Efficiency ratios'!$B$19</c:f>
              <c:strCache>
                <c:ptCount val="1"/>
                <c:pt idx="0">
                  <c:v>Days AR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'Efficiency ratios'!$D$4:$V$4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'Efficiency ratios'!$D$19:$V$19</c:f>
              <c:numCache>
                <c:formatCode>0</c:formatCode>
                <c:ptCount val="19"/>
                <c:pt idx="0">
                  <c:v>21.962946763309173</c:v>
                </c:pt>
                <c:pt idx="1">
                  <c:v>19.758542050092021</c:v>
                </c:pt>
                <c:pt idx="2">
                  <c:v>31.812550984733715</c:v>
                </c:pt>
                <c:pt idx="3">
                  <c:v>41.916941356841704</c:v>
                </c:pt>
                <c:pt idx="4">
                  <c:v>36.485163835231731</c:v>
                </c:pt>
                <c:pt idx="5">
                  <c:v>35.459161831983032</c:v>
                </c:pt>
                <c:pt idx="6">
                  <c:v>42.000307179217131</c:v>
                </c:pt>
                <c:pt idx="7">
                  <c:v>47.782762110561016</c:v>
                </c:pt>
                <c:pt idx="8">
                  <c:v>44.948184754936563</c:v>
                </c:pt>
                <c:pt idx="9">
                  <c:v>50.476328493454332</c:v>
                </c:pt>
                <c:pt idx="10">
                  <c:v>51.726140101381127</c:v>
                </c:pt>
                <c:pt idx="11">
                  <c:v>58.178467215120769</c:v>
                </c:pt>
                <c:pt idx="12">
                  <c:v>66.49710386126209</c:v>
                </c:pt>
                <c:pt idx="13">
                  <c:v>55.344671511574958</c:v>
                </c:pt>
                <c:pt idx="14">
                  <c:v>44.376170325599951</c:v>
                </c:pt>
                <c:pt idx="15">
                  <c:v>52.197779187817261</c:v>
                </c:pt>
                <c:pt idx="16">
                  <c:v>58.697336814621409</c:v>
                </c:pt>
                <c:pt idx="17">
                  <c:v>59.744245524296673</c:v>
                </c:pt>
                <c:pt idx="18">
                  <c:v>60.937119287967874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9-4600-A6F8-76889B20D584}"/>
            </c:ext>
          </c:extLst>
        </c:ser>
        <c:ser>
          <c:idx val="1"/>
          <c:order val="1"/>
          <c:tx>
            <c:strRef>
              <c:f>'Efficiency ratios'!$B$20</c:f>
              <c:strCache>
                <c:ptCount val="1"/>
                <c:pt idx="0">
                  <c:v>Days Inventory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strRef>
              <c:f>'Efficiency ratios'!$D$4:$V$4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'Efficiency ratios'!$D$20:$V$20</c:f>
              <c:numCache>
                <c:formatCode>0</c:formatCode>
                <c:ptCount val="19"/>
                <c:pt idx="0">
                  <c:v>7.0918496088821597</c:v>
                </c:pt>
                <c:pt idx="1">
                  <c:v>6.4228821931341074</c:v>
                </c:pt>
                <c:pt idx="2">
                  <c:v>6.8500564575789431</c:v>
                </c:pt>
                <c:pt idx="3">
                  <c:v>6.9508864216888808</c:v>
                </c:pt>
                <c:pt idx="4">
                  <c:v>5.1749546025981283</c:v>
                </c:pt>
                <c:pt idx="5">
                  <c:v>3.2554413405277418</c:v>
                </c:pt>
                <c:pt idx="6">
                  <c:v>4.3739329868862917</c:v>
                </c:pt>
                <c:pt idx="7">
                  <c:v>6.2996623848634394</c:v>
                </c:pt>
                <c:pt idx="8">
                  <c:v>5.8102349220852467</c:v>
                </c:pt>
                <c:pt idx="9">
                  <c:v>6.2247480513944708</c:v>
                </c:pt>
                <c:pt idx="10">
                  <c:v>9.0403798706823206</c:v>
                </c:pt>
                <c:pt idx="11">
                  <c:v>9.8195333300764549</c:v>
                </c:pt>
                <c:pt idx="12">
                  <c:v>9.0944295409872531</c:v>
                </c:pt>
                <c:pt idx="13">
                  <c:v>8.7903178244740765</c:v>
                </c:pt>
                <c:pt idx="14">
                  <c:v>9.1181020842234748</c:v>
                </c:pt>
                <c:pt idx="15">
                  <c:v>9.3906026785714278</c:v>
                </c:pt>
                <c:pt idx="16">
                  <c:v>9.3347897196261691</c:v>
                </c:pt>
                <c:pt idx="17">
                  <c:v>11.297619047619047</c:v>
                </c:pt>
                <c:pt idx="18">
                  <c:v>10.504322049239683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9-4600-A6F8-76889B20D584}"/>
            </c:ext>
          </c:extLst>
        </c:ser>
        <c:ser>
          <c:idx val="2"/>
          <c:order val="2"/>
          <c:tx>
            <c:strRef>
              <c:f>'Efficiency ratios'!$B$21</c:f>
              <c:strCache>
                <c:ptCount val="1"/>
                <c:pt idx="0">
                  <c:v>Days AP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'Efficiency ratios'!$D$4:$V$4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'Efficiency ratios'!$D$21:$V$21</c:f>
              <c:numCache>
                <c:formatCode>0</c:formatCode>
                <c:ptCount val="19"/>
                <c:pt idx="0">
                  <c:v>96.246530406257875</c:v>
                </c:pt>
                <c:pt idx="1">
                  <c:v>78.802379188276916</c:v>
                </c:pt>
                <c:pt idx="2">
                  <c:v>79.024354631468285</c:v>
                </c:pt>
                <c:pt idx="3">
                  <c:v>81.305986191548016</c:v>
                </c:pt>
                <c:pt idx="4">
                  <c:v>75.477293538824483</c:v>
                </c:pt>
                <c:pt idx="5">
                  <c:v>74.389016005281974</c:v>
                </c:pt>
                <c:pt idx="6">
                  <c:v>74.540035270059846</c:v>
                </c:pt>
                <c:pt idx="7">
                  <c:v>85.452684886600522</c:v>
                </c:pt>
                <c:pt idx="8">
                  <c:v>85.571993518406174</c:v>
                </c:pt>
                <c:pt idx="9">
                  <c:v>101.1073559858726</c:v>
                </c:pt>
                <c:pt idx="10">
                  <c:v>111.71797898587712</c:v>
                </c:pt>
                <c:pt idx="11">
                  <c:v>116.94840189061776</c:v>
                </c:pt>
                <c:pt idx="12">
                  <c:v>115.20212384566885</c:v>
                </c:pt>
                <c:pt idx="13">
                  <c:v>95.288896490307209</c:v>
                </c:pt>
                <c:pt idx="14">
                  <c:v>83.168299050150011</c:v>
                </c:pt>
                <c:pt idx="15">
                  <c:v>96.853727678571417</c:v>
                </c:pt>
                <c:pt idx="16">
                  <c:v>108.40414719626168</c:v>
                </c:pt>
                <c:pt idx="17">
                  <c:v>114.71428571428572</c:v>
                </c:pt>
                <c:pt idx="18">
                  <c:v>114.69021542360609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9-4600-A6F8-76889B20D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64234752"/>
        <c:axId val="164236288"/>
      </c:barChart>
      <c:catAx>
        <c:axId val="164234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36288"/>
        <c:crosses val="autoZero"/>
        <c:auto val="1"/>
        <c:lblAlgn val="ctr"/>
        <c:lblOffset val="100"/>
        <c:noMultiLvlLbl val="0"/>
      </c:catAx>
      <c:valAx>
        <c:axId val="164236288"/>
        <c:scaling>
          <c:orientation val="minMax"/>
          <c:max val="12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3475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Profitability!$B$14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Profitability!$D$5:$V$5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Profitability!$D$14:$V$14</c:f>
              <c:numCache>
                <c:formatCode>0.0%</c:formatCode>
                <c:ptCount val="19"/>
                <c:pt idx="0">
                  <c:v>0.1456302591018912</c:v>
                </c:pt>
                <c:pt idx="1">
                  <c:v>0.16321250433437356</c:v>
                </c:pt>
                <c:pt idx="2">
                  <c:v>0.19193567183311966</c:v>
                </c:pt>
                <c:pt idx="3">
                  <c:v>0.21484093522422384</c:v>
                </c:pt>
                <c:pt idx="4">
                  <c:v>0.2394664153941376</c:v>
                </c:pt>
                <c:pt idx="5">
                  <c:v>0.26665090602397318</c:v>
                </c:pt>
                <c:pt idx="6">
                  <c:v>0.21670469837926393</c:v>
                </c:pt>
                <c:pt idx="7">
                  <c:v>0.21614376760852322</c:v>
                </c:pt>
                <c:pt idx="8">
                  <c:v>0.22845773698735639</c:v>
                </c:pt>
                <c:pt idx="9">
                  <c:v>0.21186798306428797</c:v>
                </c:pt>
                <c:pt idx="10">
                  <c:v>0.21092420845075335</c:v>
                </c:pt>
                <c:pt idx="11">
                  <c:v>0.22414202074587244</c:v>
                </c:pt>
                <c:pt idx="12">
                  <c:v>0.21238094505984459</c:v>
                </c:pt>
                <c:pt idx="13">
                  <c:v>0.20913611278072242</c:v>
                </c:pt>
                <c:pt idx="14">
                  <c:v>0.25881793355694244</c:v>
                </c:pt>
                <c:pt idx="15">
                  <c:v>0.25380710659898476</c:v>
                </c:pt>
                <c:pt idx="16">
                  <c:v>0.25326370757180156</c:v>
                </c:pt>
                <c:pt idx="17">
                  <c:v>0.23964194373401534</c:v>
                </c:pt>
                <c:pt idx="18">
                  <c:v>0.26915064121818238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6-4B80-80A3-473FCD0C3A7A}"/>
            </c:ext>
          </c:extLst>
        </c:ser>
        <c:ser>
          <c:idx val="2"/>
          <c:order val="1"/>
          <c:tx>
            <c:strRef>
              <c:f>Profitability!$B$15</c:f>
              <c:strCache>
                <c:ptCount val="1"/>
                <c:pt idx="0">
                  <c:v>Assets turnover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strRef>
              <c:f>Profitability!$D$5:$V$5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Profitability!$D$15:$V$15</c:f>
              <c:numCache>
                <c:formatCode>0.00</c:formatCode>
                <c:ptCount val="19"/>
                <c:pt idx="0">
                  <c:v>1.1283135927805978</c:v>
                </c:pt>
                <c:pt idx="1">
                  <c:v>1.1550085491150508</c:v>
                </c:pt>
                <c:pt idx="2">
                  <c:v>0.98549492954187856</c:v>
                </c:pt>
                <c:pt idx="3">
                  <c:v>1.0633008379250757</c:v>
                </c:pt>
                <c:pt idx="4">
                  <c:v>1.1302191549119307</c:v>
                </c:pt>
                <c:pt idx="5">
                  <c:v>1.070378032725221</c:v>
                </c:pt>
                <c:pt idx="6">
                  <c:v>0.89233130756218293</c:v>
                </c:pt>
                <c:pt idx="7">
                  <c:v>0.83308457087906951</c:v>
                </c:pt>
                <c:pt idx="8">
                  <c:v>0.89491459225988768</c:v>
                </c:pt>
                <c:pt idx="9">
                  <c:v>0.70451267223706038</c:v>
                </c:pt>
                <c:pt idx="10">
                  <c:v>0.65776859563417767</c:v>
                </c:pt>
                <c:pt idx="11">
                  <c:v>0.71681303674275754</c:v>
                </c:pt>
                <c:pt idx="12">
                  <c:v>0.73887774213656965</c:v>
                </c:pt>
                <c:pt idx="13">
                  <c:v>0.82884463258072105</c:v>
                </c:pt>
                <c:pt idx="14">
                  <c:v>1.084078886929722</c:v>
                </c:pt>
                <c:pt idx="15">
                  <c:v>1.1197046707883545</c:v>
                </c:pt>
                <c:pt idx="16">
                  <c:v>1.0853624841481817</c:v>
                </c:pt>
                <c:pt idx="17">
                  <c:v>1.0891364902506964</c:v>
                </c:pt>
                <c:pt idx="18">
                  <c:v>1.1492334733880021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26-4B80-80A3-473FCD0C3A7A}"/>
            </c:ext>
          </c:extLst>
        </c:ser>
        <c:ser>
          <c:idx val="3"/>
          <c:order val="2"/>
          <c:tx>
            <c:strRef>
              <c:f>Profitability!$B$16</c:f>
              <c:strCache>
                <c:ptCount val="1"/>
                <c:pt idx="0">
                  <c:v>Equity multiplier (Assets/equity)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Profitability!$D$5:$V$5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Profitability!$D$16:$V$16</c:f>
              <c:numCache>
                <c:formatCode>0.00</c:formatCode>
                <c:ptCount val="19"/>
                <c:pt idx="0">
                  <c:v>1.7356828193832601</c:v>
                </c:pt>
                <c:pt idx="1">
                  <c:v>1.8255160002249597</c:v>
                </c:pt>
                <c:pt idx="2">
                  <c:v>1.6531801784697171</c:v>
                </c:pt>
                <c:pt idx="3">
                  <c:v>1.5445355088063855</c:v>
                </c:pt>
                <c:pt idx="4">
                  <c:v>1.5397488867096443</c:v>
                </c:pt>
                <c:pt idx="5">
                  <c:v>1.5010137302707558</c:v>
                </c:pt>
                <c:pt idx="6">
                  <c:v>1.5844870304724952</c:v>
                </c:pt>
                <c:pt idx="7">
                  <c:v>1.8666374587402592</c:v>
                </c:pt>
                <c:pt idx="8">
                  <c:v>2.2620765519571076</c:v>
                </c:pt>
                <c:pt idx="9">
                  <c:v>2.4723550508069336</c:v>
                </c:pt>
                <c:pt idx="10">
                  <c:v>2.6573222618720833</c:v>
                </c:pt>
                <c:pt idx="11">
                  <c:v>3.0723981525245239</c:v>
                </c:pt>
                <c:pt idx="12">
                  <c:v>3.5633415133959065</c:v>
                </c:pt>
                <c:pt idx="13">
                  <c:v>4.2508936192059146</c:v>
                </c:pt>
                <c:pt idx="14">
                  <c:v>5.2549657787571338</c:v>
                </c:pt>
                <c:pt idx="15">
                  <c:v>6.1862221128320538</c:v>
                </c:pt>
                <c:pt idx="16">
                  <c:v>6.2638011218403866</c:v>
                </c:pt>
                <c:pt idx="17">
                  <c:v>6.0336134453781511</c:v>
                </c:pt>
                <c:pt idx="18">
                  <c:v>5.539848393290141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26-4B80-80A3-473FCD0C3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27936"/>
        <c:axId val="163929472"/>
      </c:barChart>
      <c:catAx>
        <c:axId val="16392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929472"/>
        <c:crosses val="autoZero"/>
        <c:auto val="1"/>
        <c:lblAlgn val="ctr"/>
        <c:lblOffset val="100"/>
        <c:noMultiLvlLbl val="0"/>
      </c:catAx>
      <c:valAx>
        <c:axId val="163929472"/>
        <c:scaling>
          <c:orientation val="minMax"/>
          <c:max val="2.7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92793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Profitability!$B$12</c:f>
              <c:strCache>
                <c:ptCount val="1"/>
                <c:pt idx="0">
                  <c:v>Return on equity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Profitability!$D$5:$V$5</c:f>
              <c:strCache>
                <c:ptCount val="19"/>
                <c:pt idx="0">
                  <c:v>Sep '07</c:v>
                </c:pt>
                <c:pt idx="1">
                  <c:v>Sep '08</c:v>
                </c:pt>
                <c:pt idx="2">
                  <c:v>Sep '09</c:v>
                </c:pt>
                <c:pt idx="3">
                  <c:v>Sep '10</c:v>
                </c:pt>
                <c:pt idx="4">
                  <c:v>Sep '11</c:v>
                </c:pt>
                <c:pt idx="5">
                  <c:v>Sep '12</c:v>
                </c:pt>
                <c:pt idx="6">
                  <c:v>Sep '13</c:v>
                </c:pt>
                <c:pt idx="7">
                  <c:v>Sep '14</c:v>
                </c:pt>
                <c:pt idx="8">
                  <c:v>Sep '15</c:v>
                </c:pt>
                <c:pt idx="9">
                  <c:v>Sep '16</c:v>
                </c:pt>
                <c:pt idx="10">
                  <c:v>Sep '17</c:v>
                </c:pt>
                <c:pt idx="11">
                  <c:v>Sep '18</c:v>
                </c:pt>
                <c:pt idx="12">
                  <c:v>Sep '19</c:v>
                </c:pt>
                <c:pt idx="13">
                  <c:v>Sep '20</c:v>
                </c:pt>
                <c:pt idx="14">
                  <c:v>Sep '21</c:v>
                </c:pt>
                <c:pt idx="15">
                  <c:v>Sep '22</c:v>
                </c:pt>
                <c:pt idx="16">
                  <c:v>Sep '23</c:v>
                </c:pt>
                <c:pt idx="17">
                  <c:v>Sep '24</c:v>
                </c:pt>
                <c:pt idx="18">
                  <c:v>Sep '25</c:v>
                </c:pt>
              </c:strCache>
            </c:strRef>
          </c:cat>
          <c:val>
            <c:numRef>
              <c:f>Profitability!$D$12:$V$12</c:f>
              <c:numCache>
                <c:formatCode>0.0%</c:formatCode>
                <c:ptCount val="19"/>
                <c:pt idx="0">
                  <c:v>0.28520150106053194</c:v>
                </c:pt>
                <c:pt idx="1">
                  <c:v>0.34413137618806594</c:v>
                </c:pt>
                <c:pt idx="2">
                  <c:v>0.31270172773875066</c:v>
                </c:pt>
                <c:pt idx="3">
                  <c:v>0.35283453563470185</c:v>
                </c:pt>
                <c:pt idx="4">
                  <c:v>0.41673231194636917</c:v>
                </c:pt>
                <c:pt idx="5">
                  <c:v>0.42841524445014756</c:v>
                </c:pt>
                <c:pt idx="6">
                  <c:v>0.30639603903060481</c:v>
                </c:pt>
                <c:pt idx="7">
                  <c:v>0.33611801136556979</c:v>
                </c:pt>
                <c:pt idx="8">
                  <c:v>0.46248191873608718</c:v>
                </c:pt>
                <c:pt idx="9">
                  <c:v>0.36903281045540459</c:v>
                </c:pt>
                <c:pt idx="10">
                  <c:v>0.36867508463720378</c:v>
                </c:pt>
                <c:pt idx="11">
                  <c:v>0.49363582842027576</c:v>
                </c:pt>
                <c:pt idx="12">
                  <c:v>0.55917221139980267</c:v>
                </c:pt>
                <c:pt idx="13">
                  <c:v>0.73685561552234224</c:v>
                </c:pt>
                <c:pt idx="14">
                  <c:v>1.4744333444938449</c:v>
                </c:pt>
                <c:pt idx="15">
                  <c:v>1.7580562929625005</c:v>
                </c:pt>
                <c:pt idx="16">
                  <c:v>1.7218119852314684</c:v>
                </c:pt>
                <c:pt idx="17">
                  <c:v>1.5747899159663865</c:v>
                </c:pt>
                <c:pt idx="18">
                  <c:v>1.7135688770241637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F-43A9-82AE-943C5846E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axId val="163966976"/>
        <c:axId val="163968512"/>
      </c:barChart>
      <c:catAx>
        <c:axId val="163966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968512"/>
        <c:crosses val="autoZero"/>
        <c:auto val="1"/>
        <c:lblAlgn val="ctr"/>
        <c:lblOffset val="100"/>
        <c:noMultiLvlLbl val="0"/>
      </c:catAx>
      <c:valAx>
        <c:axId val="16396851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39669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4</xdr:row>
      <xdr:rowOff>142875</xdr:rowOff>
    </xdr:from>
    <xdr:to>
      <xdr:col>11</xdr:col>
      <xdr:colOff>171450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295274</xdr:colOff>
      <xdr:row>24</xdr:row>
      <xdr:rowOff>0</xdr:rowOff>
    </xdr:from>
    <xdr:to>
      <xdr:col>11</xdr:col>
      <xdr:colOff>161925</xdr:colOff>
      <xdr:row>40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19048</xdr:colOff>
      <xdr:row>9</xdr:row>
      <xdr:rowOff>95250</xdr:rowOff>
    </xdr:from>
    <xdr:to>
      <xdr:col>14</xdr:col>
      <xdr:colOff>514349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4</xdr:row>
      <xdr:rowOff>161926</xdr:rowOff>
    </xdr:from>
    <xdr:to>
      <xdr:col>10</xdr:col>
      <xdr:colOff>552449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152400</xdr:rowOff>
    </xdr:from>
    <xdr:to>
      <xdr:col>10</xdr:col>
      <xdr:colOff>571500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314324</xdr:colOff>
      <xdr:row>38</xdr:row>
      <xdr:rowOff>0</xdr:rowOff>
    </xdr:from>
    <xdr:to>
      <xdr:col>10</xdr:col>
      <xdr:colOff>581024</xdr:colOff>
      <xdr:row>50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10</xdr:col>
      <xdr:colOff>590550</xdr:colOff>
      <xdr:row>67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26</xdr:row>
      <xdr:rowOff>19050</xdr:rowOff>
    </xdr:from>
    <xdr:to>
      <xdr:col>10</xdr:col>
      <xdr:colOff>352424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37</xdr:row>
      <xdr:rowOff>4762</xdr:rowOff>
    </xdr:from>
    <xdr:to>
      <xdr:col>10</xdr:col>
      <xdr:colOff>409575</xdr:colOff>
      <xdr:row>51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152399</xdr:colOff>
      <xdr:row>22</xdr:row>
      <xdr:rowOff>85725</xdr:rowOff>
    </xdr:from>
    <xdr:to>
      <xdr:col>10</xdr:col>
      <xdr:colOff>400049</xdr:colOff>
      <xdr:row>35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workbookViewId="0"/>
  </sheetViews>
  <sheetFormatPr defaultColWidth="9.1015625" defaultRowHeight="13.8" x14ac:dyDescent="0.45"/>
  <cols>
    <col min="1" max="1" width="4.26171875" style="17" customWidth="1"/>
    <col min="2" max="2" width="32.578125" style="17" customWidth="1"/>
    <col min="3" max="3" width="12" style="17" bestFit="1" customWidth="1"/>
    <col min="4" max="16384" width="9.1015625" style="17"/>
  </cols>
  <sheetData>
    <row r="2" spans="2:5" ht="14.1" x14ac:dyDescent="0.5">
      <c r="B2" s="93" t="s">
        <v>215</v>
      </c>
    </row>
    <row r="4" spans="2:5" ht="14.1" x14ac:dyDescent="0.5">
      <c r="B4" s="83" t="s">
        <v>216</v>
      </c>
      <c r="C4" s="83" t="s">
        <v>217</v>
      </c>
    </row>
    <row r="5" spans="2:5" ht="14.1" x14ac:dyDescent="0.5">
      <c r="B5" s="94" t="s">
        <v>218</v>
      </c>
      <c r="C5" s="95">
        <f>'Valuation - base'!C91</f>
        <v>251.55499133977543</v>
      </c>
      <c r="E5" s="17" t="s">
        <v>219</v>
      </c>
    </row>
    <row r="6" spans="2:5" x14ac:dyDescent="0.45">
      <c r="B6" s="17" t="s">
        <v>220</v>
      </c>
      <c r="C6" s="88">
        <f>'Valuation - lower margins'!C91</f>
        <v>154.33614341515613</v>
      </c>
      <c r="E6" s="17" t="s">
        <v>221</v>
      </c>
    </row>
    <row r="7" spans="2:5" x14ac:dyDescent="0.45">
      <c r="B7" s="17" t="s">
        <v>222</v>
      </c>
      <c r="C7" s="88">
        <f>'Valuation - new product'!C91</f>
        <v>330.15228308741376</v>
      </c>
      <c r="E7" s="17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5BB5-0E81-4A2F-98BA-71B939288982}">
  <dimension ref="B2:L91"/>
  <sheetViews>
    <sheetView workbookViewId="0"/>
  </sheetViews>
  <sheetFormatPr defaultColWidth="9.1015625" defaultRowHeight="13.8" x14ac:dyDescent="0.55000000000000004"/>
  <cols>
    <col min="1" max="1" width="4.83984375" style="10" customWidth="1"/>
    <col min="2" max="2" width="60.26171875" style="10" customWidth="1"/>
    <col min="3" max="10" width="12.68359375" style="10" customWidth="1"/>
    <col min="11" max="11" width="6.1015625" style="10" customWidth="1"/>
    <col min="12" max="16384" width="9.1015625" style="10"/>
  </cols>
  <sheetData>
    <row r="2" spans="2:12" ht="14.1" x14ac:dyDescent="0.55000000000000004">
      <c r="B2" s="18" t="s">
        <v>224</v>
      </c>
    </row>
    <row r="3" spans="2:12" ht="14.1" x14ac:dyDescent="0.55000000000000004">
      <c r="B3" s="18" t="s">
        <v>349</v>
      </c>
    </row>
    <row r="5" spans="2:12" ht="14.1" x14ac:dyDescent="0.55000000000000004">
      <c r="B5" s="16" t="s">
        <v>225</v>
      </c>
      <c r="C5" s="57" t="s">
        <v>226</v>
      </c>
      <c r="D5" s="57" t="s">
        <v>227</v>
      </c>
      <c r="E5" s="57" t="s">
        <v>227</v>
      </c>
      <c r="F5" s="57" t="s">
        <v>227</v>
      </c>
      <c r="G5" s="57" t="s">
        <v>227</v>
      </c>
      <c r="H5" s="57" t="s">
        <v>227</v>
      </c>
      <c r="I5" s="57" t="s">
        <v>227</v>
      </c>
      <c r="J5" s="57" t="s">
        <v>227</v>
      </c>
    </row>
    <row r="6" spans="2:12" ht="14.1" x14ac:dyDescent="0.55000000000000004">
      <c r="B6" s="20" t="s">
        <v>228</v>
      </c>
      <c r="C6" s="20">
        <v>2025</v>
      </c>
      <c r="D6" s="20">
        <v>2026</v>
      </c>
      <c r="E6" s="20">
        <v>2027</v>
      </c>
      <c r="F6" s="20">
        <v>2028</v>
      </c>
      <c r="G6" s="20">
        <v>2029</v>
      </c>
      <c r="H6" s="20">
        <v>2030</v>
      </c>
      <c r="I6" s="20">
        <v>2031</v>
      </c>
      <c r="J6" s="20">
        <v>2032</v>
      </c>
    </row>
    <row r="7" spans="2:12" x14ac:dyDescent="0.55000000000000004">
      <c r="B7" s="10" t="s">
        <v>116</v>
      </c>
      <c r="C7" s="22"/>
      <c r="D7" s="22">
        <f>'Revenue forecast'!D27</f>
        <v>0.17067307692307687</v>
      </c>
      <c r="E7" s="22">
        <f>'Revenue forecast'!E27</f>
        <v>0.11967145790554401</v>
      </c>
      <c r="F7" s="22">
        <f>'Revenue forecast'!F27</f>
        <v>7.9186839788732311E-2</v>
      </c>
      <c r="G7" s="22">
        <f>'Revenue forecast'!G27</f>
        <v>7.0000000000000007E-2</v>
      </c>
      <c r="H7" s="22">
        <f>'Revenue forecast'!H27</f>
        <v>0.06</v>
      </c>
      <c r="I7" s="22">
        <f>'Revenue forecast'!I27</f>
        <v>0.05</v>
      </c>
      <c r="J7" s="22">
        <f>'Revenue forecast'!J27</f>
        <v>0.04</v>
      </c>
      <c r="L7" s="10" t="s">
        <v>229</v>
      </c>
    </row>
    <row r="8" spans="2:12" x14ac:dyDescent="0.55000000000000004">
      <c r="B8" s="10" t="s">
        <v>230</v>
      </c>
      <c r="C8" s="22">
        <f>'IS common size'!V6</f>
        <v>0.53094835892839554</v>
      </c>
      <c r="D8" s="22">
        <v>0.51</v>
      </c>
      <c r="E8" s="22">
        <v>0.49</v>
      </c>
      <c r="F8" s="22">
        <v>0.47</v>
      </c>
      <c r="G8" s="22">
        <f>F8</f>
        <v>0.47</v>
      </c>
      <c r="H8" s="22">
        <f t="shared" ref="H8:J8" si="0">G8</f>
        <v>0.47</v>
      </c>
      <c r="I8" s="22">
        <f t="shared" si="0"/>
        <v>0.47</v>
      </c>
      <c r="J8" s="22">
        <f t="shared" si="0"/>
        <v>0.47</v>
      </c>
      <c r="L8" s="10" t="s">
        <v>231</v>
      </c>
    </row>
    <row r="9" spans="2:12" x14ac:dyDescent="0.55000000000000004">
      <c r="B9" s="10" t="s">
        <v>232</v>
      </c>
      <c r="C9" s="22">
        <f>'IS common size'!V8</f>
        <v>0.14922109472055287</v>
      </c>
      <c r="D9" s="22">
        <f>C9</f>
        <v>0.14922109472055287</v>
      </c>
      <c r="E9" s="22">
        <f t="shared" ref="E9:J12" si="1">D9</f>
        <v>0.14922109472055287</v>
      </c>
      <c r="F9" s="22">
        <f t="shared" si="1"/>
        <v>0.14922109472055287</v>
      </c>
      <c r="G9" s="22">
        <f t="shared" si="1"/>
        <v>0.14922109472055287</v>
      </c>
      <c r="H9" s="22">
        <f t="shared" si="1"/>
        <v>0.14922109472055287</v>
      </c>
      <c r="I9" s="22">
        <f t="shared" si="1"/>
        <v>0.14922109472055287</v>
      </c>
      <c r="J9" s="22">
        <f t="shared" si="1"/>
        <v>0.14922109472055287</v>
      </c>
      <c r="L9" s="10" t="s">
        <v>233</v>
      </c>
    </row>
    <row r="10" spans="2:12" x14ac:dyDescent="0.55000000000000004">
      <c r="B10" s="10" t="s">
        <v>234</v>
      </c>
      <c r="C10" s="22">
        <v>0.03</v>
      </c>
      <c r="D10" s="22">
        <f t="shared" ref="D10:D12" si="2">C10</f>
        <v>0.03</v>
      </c>
      <c r="E10" s="22">
        <v>0.04</v>
      </c>
      <c r="F10" s="22">
        <f t="shared" si="1"/>
        <v>0.04</v>
      </c>
      <c r="G10" s="22">
        <f t="shared" si="1"/>
        <v>0.04</v>
      </c>
      <c r="H10" s="22">
        <f t="shared" si="1"/>
        <v>0.04</v>
      </c>
      <c r="I10" s="22">
        <f t="shared" si="1"/>
        <v>0.04</v>
      </c>
      <c r="J10" s="22">
        <f t="shared" si="1"/>
        <v>0.04</v>
      </c>
      <c r="L10" s="10" t="s">
        <v>235</v>
      </c>
    </row>
    <row r="11" spans="2:12" x14ac:dyDescent="0.55000000000000004">
      <c r="B11" s="10" t="s">
        <v>143</v>
      </c>
      <c r="C11" s="22">
        <v>0.05</v>
      </c>
      <c r="D11" s="22">
        <f t="shared" si="2"/>
        <v>0.05</v>
      </c>
      <c r="E11" s="22">
        <v>0.05</v>
      </c>
      <c r="F11" s="22">
        <f t="shared" si="1"/>
        <v>0.05</v>
      </c>
      <c r="G11" s="22">
        <f t="shared" si="1"/>
        <v>0.05</v>
      </c>
      <c r="H11" s="22">
        <f t="shared" si="1"/>
        <v>0.05</v>
      </c>
      <c r="I11" s="22">
        <f t="shared" si="1"/>
        <v>0.05</v>
      </c>
      <c r="J11" s="22">
        <f t="shared" si="1"/>
        <v>0.05</v>
      </c>
      <c r="L11" s="10" t="s">
        <v>235</v>
      </c>
    </row>
    <row r="12" spans="2:12" x14ac:dyDescent="0.55000000000000004">
      <c r="B12" s="10" t="s">
        <v>236</v>
      </c>
      <c r="C12" s="22">
        <v>0.2</v>
      </c>
      <c r="D12" s="22">
        <f t="shared" si="2"/>
        <v>0.2</v>
      </c>
      <c r="E12" s="22">
        <f t="shared" si="1"/>
        <v>0.2</v>
      </c>
      <c r="F12" s="22">
        <f t="shared" si="1"/>
        <v>0.2</v>
      </c>
      <c r="G12" s="22">
        <f t="shared" si="1"/>
        <v>0.2</v>
      </c>
      <c r="H12" s="22">
        <f t="shared" si="1"/>
        <v>0.2</v>
      </c>
      <c r="I12" s="22">
        <f t="shared" si="1"/>
        <v>0.2</v>
      </c>
      <c r="J12" s="22">
        <f t="shared" si="1"/>
        <v>0.2</v>
      </c>
      <c r="L12" s="10" t="s">
        <v>237</v>
      </c>
    </row>
    <row r="13" spans="2:12" ht="14.1" x14ac:dyDescent="0.55000000000000004">
      <c r="B13" s="20" t="s">
        <v>238</v>
      </c>
      <c r="C13" s="58"/>
      <c r="D13" s="20"/>
      <c r="E13" s="20"/>
      <c r="F13" s="20"/>
      <c r="G13" s="20"/>
      <c r="H13" s="20"/>
      <c r="I13" s="20"/>
      <c r="J13" s="20"/>
    </row>
    <row r="14" spans="2:12" x14ac:dyDescent="0.55000000000000004">
      <c r="B14" s="10" t="s">
        <v>239</v>
      </c>
      <c r="C14" s="13">
        <f>C47</f>
        <v>35.933999999999997</v>
      </c>
      <c r="D14" s="13">
        <f t="shared" ref="D14:J23" si="3">C14</f>
        <v>35.933999999999997</v>
      </c>
      <c r="E14" s="13">
        <f t="shared" si="3"/>
        <v>35.933999999999997</v>
      </c>
      <c r="F14" s="13">
        <f t="shared" si="3"/>
        <v>35.933999999999997</v>
      </c>
      <c r="G14" s="13">
        <f t="shared" si="3"/>
        <v>35.933999999999997</v>
      </c>
      <c r="H14" s="13">
        <f t="shared" si="3"/>
        <v>35.933999999999997</v>
      </c>
      <c r="I14" s="13">
        <f t="shared" si="3"/>
        <v>35.933999999999997</v>
      </c>
      <c r="J14" s="13">
        <f t="shared" si="3"/>
        <v>35.933999999999997</v>
      </c>
      <c r="L14" s="10" t="s">
        <v>233</v>
      </c>
    </row>
    <row r="15" spans="2:12" x14ac:dyDescent="0.55000000000000004">
      <c r="B15" s="10" t="s">
        <v>240</v>
      </c>
      <c r="C15" s="13">
        <f>C58</f>
        <v>20.329000000000001</v>
      </c>
      <c r="D15" s="13">
        <f t="shared" si="3"/>
        <v>20.329000000000001</v>
      </c>
      <c r="E15" s="13">
        <f t="shared" si="3"/>
        <v>20.329000000000001</v>
      </c>
      <c r="F15" s="13">
        <f t="shared" si="3"/>
        <v>20.329000000000001</v>
      </c>
      <c r="G15" s="13">
        <f t="shared" si="3"/>
        <v>20.329000000000001</v>
      </c>
      <c r="H15" s="13">
        <f t="shared" si="3"/>
        <v>20.329000000000001</v>
      </c>
      <c r="I15" s="13">
        <f t="shared" si="3"/>
        <v>20.329000000000001</v>
      </c>
      <c r="J15" s="13">
        <f t="shared" si="3"/>
        <v>20.329000000000001</v>
      </c>
      <c r="L15" s="10" t="s">
        <v>233</v>
      </c>
    </row>
    <row r="16" spans="2:12" x14ac:dyDescent="0.55000000000000004">
      <c r="B16" s="10" t="s">
        <v>241</v>
      </c>
      <c r="C16" s="13">
        <f>C59</f>
        <v>78.328000000000003</v>
      </c>
      <c r="D16" s="13">
        <f t="shared" si="3"/>
        <v>78.328000000000003</v>
      </c>
      <c r="E16" s="13">
        <f t="shared" si="3"/>
        <v>78.328000000000003</v>
      </c>
      <c r="F16" s="13">
        <f t="shared" si="3"/>
        <v>78.328000000000003</v>
      </c>
      <c r="G16" s="13">
        <f t="shared" si="3"/>
        <v>78.328000000000003</v>
      </c>
      <c r="H16" s="13">
        <f t="shared" si="3"/>
        <v>78.328000000000003</v>
      </c>
      <c r="I16" s="13">
        <f t="shared" si="3"/>
        <v>78.328000000000003</v>
      </c>
      <c r="J16" s="13">
        <f t="shared" si="3"/>
        <v>78.328000000000003</v>
      </c>
      <c r="L16" s="10" t="s">
        <v>233</v>
      </c>
    </row>
    <row r="17" spans="2:12" x14ac:dyDescent="0.55000000000000004">
      <c r="B17" s="10" t="s">
        <v>242</v>
      </c>
      <c r="C17" s="22">
        <v>5.8721745624100694E-2</v>
      </c>
      <c r="D17" s="22">
        <f t="shared" si="3"/>
        <v>5.8721745624100694E-2</v>
      </c>
      <c r="E17" s="22">
        <f t="shared" si="3"/>
        <v>5.8721745624100694E-2</v>
      </c>
      <c r="F17" s="22">
        <f t="shared" si="3"/>
        <v>5.8721745624100694E-2</v>
      </c>
      <c r="G17" s="22">
        <f t="shared" si="3"/>
        <v>5.8721745624100694E-2</v>
      </c>
      <c r="H17" s="22">
        <f t="shared" si="3"/>
        <v>5.8721745624100694E-2</v>
      </c>
      <c r="I17" s="22">
        <f t="shared" si="3"/>
        <v>5.8721745624100694E-2</v>
      </c>
      <c r="J17" s="22">
        <f t="shared" si="3"/>
        <v>5.8721745624100694E-2</v>
      </c>
      <c r="L17" s="10" t="s">
        <v>233</v>
      </c>
    </row>
    <row r="18" spans="2:12" x14ac:dyDescent="0.55000000000000004">
      <c r="B18" s="10" t="s">
        <v>206</v>
      </c>
      <c r="C18" s="22">
        <v>2.3950365359550363E-2</v>
      </c>
      <c r="D18" s="22">
        <f t="shared" si="3"/>
        <v>2.3950365359550363E-2</v>
      </c>
      <c r="E18" s="22">
        <f t="shared" si="3"/>
        <v>2.3950365359550363E-2</v>
      </c>
      <c r="F18" s="22">
        <f t="shared" si="3"/>
        <v>2.3950365359550363E-2</v>
      </c>
      <c r="G18" s="22">
        <f t="shared" si="3"/>
        <v>2.3950365359550363E-2</v>
      </c>
      <c r="H18" s="22">
        <f t="shared" si="3"/>
        <v>2.3950365359550363E-2</v>
      </c>
      <c r="I18" s="22">
        <f t="shared" si="3"/>
        <v>2.3950365359550363E-2</v>
      </c>
      <c r="J18" s="22">
        <f t="shared" si="3"/>
        <v>2.3950365359550363E-2</v>
      </c>
      <c r="L18" s="10" t="s">
        <v>233</v>
      </c>
    </row>
    <row r="19" spans="2:12" x14ac:dyDescent="0.55000000000000004">
      <c r="B19" s="10" t="s">
        <v>243</v>
      </c>
      <c r="C19" s="13">
        <f>C53</f>
        <v>83.727000000000004</v>
      </c>
      <c r="D19" s="13">
        <f t="shared" si="3"/>
        <v>83.727000000000004</v>
      </c>
      <c r="E19" s="13">
        <f t="shared" si="3"/>
        <v>83.727000000000004</v>
      </c>
      <c r="F19" s="13">
        <f t="shared" si="3"/>
        <v>83.727000000000004</v>
      </c>
      <c r="G19" s="13">
        <f t="shared" si="3"/>
        <v>83.727000000000004</v>
      </c>
      <c r="H19" s="13">
        <f t="shared" si="3"/>
        <v>83.727000000000004</v>
      </c>
      <c r="I19" s="13">
        <f t="shared" si="3"/>
        <v>83.727000000000004</v>
      </c>
      <c r="J19" s="13">
        <f t="shared" si="3"/>
        <v>83.727000000000004</v>
      </c>
      <c r="L19" s="10" t="s">
        <v>233</v>
      </c>
    </row>
    <row r="20" spans="2:12" x14ac:dyDescent="0.55000000000000004">
      <c r="B20" s="10" t="s">
        <v>207</v>
      </c>
      <c r="C20" s="22">
        <v>0.11871482432653953</v>
      </c>
      <c r="D20" s="22">
        <f t="shared" si="3"/>
        <v>0.11871482432653953</v>
      </c>
      <c r="E20" s="22">
        <f t="shared" si="3"/>
        <v>0.11871482432653953</v>
      </c>
      <c r="F20" s="22">
        <f t="shared" si="3"/>
        <v>0.11871482432653953</v>
      </c>
      <c r="G20" s="22">
        <f t="shared" si="3"/>
        <v>0.11871482432653953</v>
      </c>
      <c r="H20" s="22">
        <f t="shared" si="3"/>
        <v>0.11871482432653953</v>
      </c>
      <c r="I20" s="22">
        <f t="shared" si="3"/>
        <v>0.11871482432653953</v>
      </c>
      <c r="J20" s="22">
        <f t="shared" si="3"/>
        <v>0.11871482432653953</v>
      </c>
      <c r="L20" s="10" t="s">
        <v>233</v>
      </c>
    </row>
    <row r="21" spans="2:12" x14ac:dyDescent="0.55000000000000004">
      <c r="B21" s="10" t="s">
        <v>208</v>
      </c>
      <c r="C21" s="22">
        <v>0.24944709511143615</v>
      </c>
      <c r="D21" s="22">
        <f t="shared" si="3"/>
        <v>0.24944709511143615</v>
      </c>
      <c r="E21" s="22">
        <f t="shared" si="3"/>
        <v>0.24944709511143615</v>
      </c>
      <c r="F21" s="22">
        <f t="shared" si="3"/>
        <v>0.24944709511143615</v>
      </c>
      <c r="G21" s="22">
        <f t="shared" si="3"/>
        <v>0.24944709511143615</v>
      </c>
      <c r="H21" s="22">
        <f t="shared" si="3"/>
        <v>0.24944709511143615</v>
      </c>
      <c r="I21" s="22">
        <f t="shared" si="3"/>
        <v>0.24944709511143615</v>
      </c>
      <c r="J21" s="22">
        <f t="shared" si="3"/>
        <v>0.24944709511143615</v>
      </c>
      <c r="L21" s="10" t="s">
        <v>233</v>
      </c>
    </row>
    <row r="22" spans="2:12" x14ac:dyDescent="0.55000000000000004">
      <c r="B22" s="10" t="s">
        <v>209</v>
      </c>
      <c r="C22" s="22">
        <v>0.29091348734068967</v>
      </c>
      <c r="D22" s="22">
        <f t="shared" si="3"/>
        <v>0.29091348734068967</v>
      </c>
      <c r="E22" s="22">
        <f t="shared" si="3"/>
        <v>0.29091348734068967</v>
      </c>
      <c r="F22" s="22">
        <f t="shared" si="3"/>
        <v>0.29091348734068967</v>
      </c>
      <c r="G22" s="22">
        <f t="shared" si="3"/>
        <v>0.29091348734068967</v>
      </c>
      <c r="H22" s="22">
        <f t="shared" si="3"/>
        <v>0.29091348734068967</v>
      </c>
      <c r="I22" s="22">
        <f t="shared" si="3"/>
        <v>0.29091348734068967</v>
      </c>
      <c r="J22" s="22">
        <f t="shared" si="3"/>
        <v>0.29091348734068967</v>
      </c>
      <c r="L22" s="10" t="s">
        <v>233</v>
      </c>
    </row>
    <row r="23" spans="2:12" x14ac:dyDescent="0.55000000000000004">
      <c r="B23" s="10" t="s">
        <v>244</v>
      </c>
      <c r="C23" s="13">
        <f>C60</f>
        <v>41.548999999999999</v>
      </c>
      <c r="D23" s="13">
        <f t="shared" si="3"/>
        <v>41.548999999999999</v>
      </c>
      <c r="E23" s="13">
        <f t="shared" si="3"/>
        <v>41.548999999999999</v>
      </c>
      <c r="F23" s="13">
        <f t="shared" si="3"/>
        <v>41.548999999999999</v>
      </c>
      <c r="G23" s="13">
        <f t="shared" si="3"/>
        <v>41.548999999999999</v>
      </c>
      <c r="H23" s="13">
        <f t="shared" si="3"/>
        <v>41.548999999999999</v>
      </c>
      <c r="I23" s="13">
        <f t="shared" si="3"/>
        <v>41.548999999999999</v>
      </c>
      <c r="J23" s="13">
        <f t="shared" si="3"/>
        <v>41.548999999999999</v>
      </c>
      <c r="L23" s="10" t="s">
        <v>233</v>
      </c>
    </row>
    <row r="24" spans="2:12" ht="14.1" x14ac:dyDescent="0.55000000000000004">
      <c r="B24" s="20" t="s">
        <v>245</v>
      </c>
      <c r="C24" s="58"/>
      <c r="D24" s="20"/>
      <c r="E24" s="20"/>
      <c r="F24" s="20"/>
      <c r="G24" s="20"/>
      <c r="H24" s="20"/>
      <c r="I24" s="20"/>
      <c r="J24" s="20"/>
    </row>
    <row r="25" spans="2:12" x14ac:dyDescent="0.55000000000000004">
      <c r="B25" s="10" t="s">
        <v>246</v>
      </c>
      <c r="C25" s="59">
        <v>0.05</v>
      </c>
      <c r="D25" s="59">
        <f>C25</f>
        <v>0.05</v>
      </c>
      <c r="E25" s="59">
        <f t="shared" ref="E25:J26" si="4">D25</f>
        <v>0.05</v>
      </c>
      <c r="F25" s="59">
        <f t="shared" si="4"/>
        <v>0.05</v>
      </c>
      <c r="G25" s="59">
        <f t="shared" si="4"/>
        <v>0.05</v>
      </c>
      <c r="H25" s="59">
        <f t="shared" si="4"/>
        <v>0.05</v>
      </c>
      <c r="I25" s="59">
        <f t="shared" si="4"/>
        <v>0.05</v>
      </c>
      <c r="J25" s="59">
        <f t="shared" si="4"/>
        <v>0.05</v>
      </c>
    </row>
    <row r="26" spans="2:12" x14ac:dyDescent="0.55000000000000004">
      <c r="B26" s="10" t="s">
        <v>366</v>
      </c>
      <c r="C26" s="60">
        <v>0.8</v>
      </c>
      <c r="D26" s="60">
        <v>0.8</v>
      </c>
      <c r="E26" s="60">
        <f>D26</f>
        <v>0.8</v>
      </c>
      <c r="F26" s="60">
        <f t="shared" si="4"/>
        <v>0.8</v>
      </c>
      <c r="G26" s="60">
        <f t="shared" si="4"/>
        <v>0.8</v>
      </c>
      <c r="H26" s="60">
        <f t="shared" si="4"/>
        <v>0.8</v>
      </c>
      <c r="I26" s="60">
        <f t="shared" si="4"/>
        <v>0.8</v>
      </c>
      <c r="J26" s="60">
        <f t="shared" si="4"/>
        <v>0.8</v>
      </c>
    </row>
    <row r="27" spans="2:12" x14ac:dyDescent="0.55000000000000004">
      <c r="B27" s="10" t="s">
        <v>248</v>
      </c>
      <c r="C27" s="13"/>
      <c r="D27" s="13">
        <v>20</v>
      </c>
      <c r="E27" s="13">
        <v>20</v>
      </c>
      <c r="F27" s="13">
        <v>10</v>
      </c>
      <c r="G27" s="13">
        <v>10</v>
      </c>
      <c r="H27" s="13"/>
      <c r="I27" s="13"/>
      <c r="J27" s="13"/>
      <c r="L27" s="10" t="s">
        <v>249</v>
      </c>
    </row>
    <row r="28" spans="2:12" x14ac:dyDescent="0.55000000000000004">
      <c r="B28" s="10" t="s">
        <v>250</v>
      </c>
      <c r="C28" s="61">
        <v>0.03</v>
      </c>
      <c r="D28" s="61">
        <v>0.05</v>
      </c>
      <c r="E28" s="61">
        <v>7.0000000000000007E-2</v>
      </c>
      <c r="F28" s="61">
        <f t="shared" ref="E28:J29" si="5">E28</f>
        <v>7.0000000000000007E-2</v>
      </c>
      <c r="G28" s="61">
        <f t="shared" si="5"/>
        <v>7.0000000000000007E-2</v>
      </c>
      <c r="H28" s="61">
        <f t="shared" si="5"/>
        <v>7.0000000000000007E-2</v>
      </c>
      <c r="I28" s="61">
        <f t="shared" si="5"/>
        <v>7.0000000000000007E-2</v>
      </c>
      <c r="J28" s="61">
        <f t="shared" si="5"/>
        <v>7.0000000000000007E-2</v>
      </c>
      <c r="L28" s="10" t="s">
        <v>365</v>
      </c>
    </row>
    <row r="29" spans="2:12" x14ac:dyDescent="0.55000000000000004">
      <c r="B29" s="10" t="s">
        <v>252</v>
      </c>
      <c r="C29" s="61">
        <v>0.8</v>
      </c>
      <c r="D29" s="61">
        <f>C29</f>
        <v>0.8</v>
      </c>
      <c r="E29" s="61">
        <f t="shared" si="5"/>
        <v>0.8</v>
      </c>
      <c r="F29" s="61">
        <f t="shared" si="5"/>
        <v>0.8</v>
      </c>
      <c r="G29" s="61">
        <f t="shared" si="5"/>
        <v>0.8</v>
      </c>
      <c r="H29" s="61">
        <f t="shared" si="5"/>
        <v>0.8</v>
      </c>
      <c r="I29" s="61">
        <f t="shared" si="5"/>
        <v>0.8</v>
      </c>
      <c r="J29" s="61">
        <f t="shared" si="5"/>
        <v>0.8</v>
      </c>
      <c r="L29" s="10" t="s">
        <v>253</v>
      </c>
    </row>
    <row r="30" spans="2:12" x14ac:dyDescent="0.55000000000000004">
      <c r="B30" s="10" t="s">
        <v>254</v>
      </c>
      <c r="C30" s="61">
        <v>3.5000000000000003E-2</v>
      </c>
      <c r="D30" s="61"/>
      <c r="E30" s="61"/>
      <c r="F30" s="61"/>
      <c r="G30" s="61"/>
      <c r="H30" s="61"/>
      <c r="I30" s="61"/>
      <c r="J30" s="61"/>
    </row>
    <row r="32" spans="2:12" ht="14.1" x14ac:dyDescent="0.55000000000000004">
      <c r="B32" s="16"/>
      <c r="C32" s="16" t="s">
        <v>255</v>
      </c>
      <c r="D32" s="16" t="s">
        <v>227</v>
      </c>
      <c r="E32" s="16" t="s">
        <v>227</v>
      </c>
      <c r="F32" s="16" t="s">
        <v>227</v>
      </c>
      <c r="G32" s="16" t="s">
        <v>227</v>
      </c>
      <c r="H32" s="16" t="s">
        <v>227</v>
      </c>
      <c r="I32" s="16" t="s">
        <v>227</v>
      </c>
      <c r="J32" s="16" t="s">
        <v>227</v>
      </c>
    </row>
    <row r="33" spans="2:12" ht="14.1" x14ac:dyDescent="0.55000000000000004">
      <c r="B33" s="20" t="s">
        <v>256</v>
      </c>
      <c r="C33" s="20">
        <f>C6</f>
        <v>2025</v>
      </c>
      <c r="D33" s="20">
        <f t="shared" ref="D33:J33" si="6">D6</f>
        <v>2026</v>
      </c>
      <c r="E33" s="20">
        <f t="shared" si="6"/>
        <v>2027</v>
      </c>
      <c r="F33" s="20">
        <f t="shared" si="6"/>
        <v>2028</v>
      </c>
      <c r="G33" s="20">
        <f t="shared" si="6"/>
        <v>2029</v>
      </c>
      <c r="H33" s="20">
        <f t="shared" si="6"/>
        <v>2030</v>
      </c>
      <c r="I33" s="20">
        <f t="shared" si="6"/>
        <v>2031</v>
      </c>
      <c r="J33" s="20">
        <f t="shared" si="6"/>
        <v>2032</v>
      </c>
    </row>
    <row r="34" spans="2:12" x14ac:dyDescent="0.55000000000000004">
      <c r="B34" s="11" t="s">
        <v>11</v>
      </c>
      <c r="C34" s="11">
        <f>IS!V4</f>
        <v>416.161</v>
      </c>
      <c r="D34" s="62"/>
      <c r="E34" s="62"/>
      <c r="F34" s="62"/>
      <c r="G34" s="62"/>
      <c r="H34" s="62"/>
      <c r="I34" s="62"/>
      <c r="J34" s="62"/>
      <c r="L34" s="10" t="s">
        <v>257</v>
      </c>
    </row>
    <row r="35" spans="2:12" x14ac:dyDescent="0.55000000000000004">
      <c r="B35" s="11" t="s">
        <v>12</v>
      </c>
      <c r="C35" s="11">
        <f>IS!V5</f>
        <v>-220.96</v>
      </c>
      <c r="D35" s="62"/>
      <c r="E35" s="62"/>
      <c r="F35" s="62"/>
      <c r="G35" s="62"/>
      <c r="H35" s="62"/>
      <c r="I35" s="62"/>
      <c r="J35" s="62"/>
    </row>
    <row r="36" spans="2:12" x14ac:dyDescent="0.55000000000000004">
      <c r="B36" s="11" t="s">
        <v>13</v>
      </c>
      <c r="C36" s="62">
        <f>SUM(C34:C35)</f>
        <v>195.20099999999999</v>
      </c>
      <c r="D36" s="62"/>
      <c r="E36" s="62"/>
      <c r="F36" s="62"/>
      <c r="G36" s="62"/>
      <c r="H36" s="62"/>
      <c r="I36" s="62"/>
      <c r="J36" s="62"/>
    </row>
    <row r="37" spans="2:12" x14ac:dyDescent="0.55000000000000004">
      <c r="B37" s="44" t="s">
        <v>14</v>
      </c>
      <c r="C37" s="63">
        <f>IS!V7</f>
        <v>-62.1</v>
      </c>
      <c r="D37" s="63"/>
      <c r="E37" s="63"/>
      <c r="F37" s="63"/>
      <c r="G37" s="63"/>
      <c r="H37" s="63"/>
      <c r="I37" s="63"/>
      <c r="J37" s="63"/>
    </row>
    <row r="38" spans="2:12" ht="14.1" x14ac:dyDescent="0.55000000000000004">
      <c r="B38" s="12" t="s">
        <v>17</v>
      </c>
      <c r="C38" s="64">
        <f>SUM(C36:C37)</f>
        <v>133.101</v>
      </c>
      <c r="D38" s="64"/>
      <c r="E38" s="64"/>
      <c r="F38" s="64"/>
      <c r="G38" s="64"/>
      <c r="H38" s="64"/>
      <c r="I38" s="64"/>
      <c r="J38" s="64"/>
    </row>
    <row r="39" spans="2:12" x14ac:dyDescent="0.55000000000000004">
      <c r="B39" s="11" t="s">
        <v>234</v>
      </c>
      <c r="C39" s="62"/>
      <c r="D39" s="62"/>
      <c r="E39" s="62"/>
      <c r="F39" s="62"/>
      <c r="G39" s="62"/>
      <c r="H39" s="62"/>
      <c r="I39" s="62"/>
      <c r="J39" s="62"/>
    </row>
    <row r="40" spans="2:12" x14ac:dyDescent="0.55000000000000004">
      <c r="B40" s="11" t="s">
        <v>143</v>
      </c>
      <c r="C40" s="62"/>
      <c r="D40" s="62"/>
      <c r="E40" s="62"/>
      <c r="F40" s="62"/>
      <c r="G40" s="62"/>
      <c r="H40" s="62"/>
      <c r="I40" s="62"/>
      <c r="J40" s="62"/>
    </row>
    <row r="41" spans="2:12" x14ac:dyDescent="0.55000000000000004">
      <c r="B41" s="11" t="s">
        <v>19</v>
      </c>
      <c r="C41" s="62">
        <f>IS!V12</f>
        <v>132.72900000000001</v>
      </c>
      <c r="D41" s="62"/>
      <c r="E41" s="62"/>
      <c r="F41" s="62"/>
      <c r="G41" s="62"/>
      <c r="H41" s="62"/>
      <c r="I41" s="62"/>
      <c r="J41" s="62"/>
    </row>
    <row r="42" spans="2:12" x14ac:dyDescent="0.55000000000000004">
      <c r="B42" s="44" t="s">
        <v>20</v>
      </c>
      <c r="C42" s="63">
        <f>IS!V13</f>
        <v>-20.719000000000001</v>
      </c>
      <c r="D42" s="63"/>
      <c r="E42" s="63"/>
      <c r="F42" s="63"/>
      <c r="G42" s="63"/>
      <c r="H42" s="63"/>
      <c r="I42" s="63"/>
      <c r="J42" s="63"/>
    </row>
    <row r="43" spans="2:12" ht="14.1" x14ac:dyDescent="0.55000000000000004">
      <c r="B43" s="12" t="s">
        <v>21</v>
      </c>
      <c r="C43" s="64">
        <f>SUM(C41:C42)</f>
        <v>112.01000000000002</v>
      </c>
      <c r="D43" s="64"/>
      <c r="E43" s="64"/>
      <c r="F43" s="64"/>
      <c r="G43" s="64"/>
      <c r="H43" s="64"/>
      <c r="I43" s="64"/>
      <c r="J43" s="64"/>
    </row>
    <row r="44" spans="2:12" x14ac:dyDescent="0.55000000000000004">
      <c r="B44" s="11"/>
    </row>
    <row r="45" spans="2:12" ht="14.1" x14ac:dyDescent="0.55000000000000004">
      <c r="B45" s="12"/>
      <c r="C45" s="57" t="s">
        <v>226</v>
      </c>
      <c r="D45" s="57" t="s">
        <v>227</v>
      </c>
      <c r="E45" s="57" t="s">
        <v>227</v>
      </c>
      <c r="F45" s="57" t="s">
        <v>227</v>
      </c>
      <c r="G45" s="57" t="s">
        <v>227</v>
      </c>
      <c r="H45" s="57" t="s">
        <v>227</v>
      </c>
      <c r="I45" s="57" t="s">
        <v>227</v>
      </c>
      <c r="J45" s="57" t="s">
        <v>227</v>
      </c>
    </row>
    <row r="46" spans="2:12" ht="14.1" x14ac:dyDescent="0.55000000000000004">
      <c r="B46" s="27" t="s">
        <v>258</v>
      </c>
      <c r="C46" s="20">
        <f>C6</f>
        <v>2025</v>
      </c>
      <c r="D46" s="20">
        <f t="shared" ref="D46:J46" si="7">D33</f>
        <v>2026</v>
      </c>
      <c r="E46" s="20">
        <f t="shared" si="7"/>
        <v>2027</v>
      </c>
      <c r="F46" s="20">
        <f t="shared" si="7"/>
        <v>2028</v>
      </c>
      <c r="G46" s="20">
        <f t="shared" si="7"/>
        <v>2029</v>
      </c>
      <c r="H46" s="20">
        <f t="shared" si="7"/>
        <v>2030</v>
      </c>
      <c r="I46" s="20">
        <f t="shared" si="7"/>
        <v>2031</v>
      </c>
      <c r="J46" s="20">
        <f t="shared" si="7"/>
        <v>2032</v>
      </c>
    </row>
    <row r="47" spans="2:12" x14ac:dyDescent="0.55000000000000004">
      <c r="B47" s="11" t="s">
        <v>259</v>
      </c>
      <c r="C47" s="62">
        <f>BS!V6</f>
        <v>35.933999999999997</v>
      </c>
      <c r="D47" s="62"/>
      <c r="E47" s="62"/>
      <c r="F47" s="62"/>
      <c r="G47" s="62"/>
      <c r="H47" s="62"/>
      <c r="I47" s="62"/>
      <c r="J47" s="62"/>
    </row>
    <row r="48" spans="2:12" x14ac:dyDescent="0.55000000000000004">
      <c r="B48" s="11" t="s">
        <v>260</v>
      </c>
      <c r="C48" s="62">
        <f>BS!V7+BS!V15</f>
        <v>96.486000000000004</v>
      </c>
      <c r="D48" s="62"/>
      <c r="E48" s="62"/>
      <c r="F48" s="62"/>
      <c r="G48" s="62"/>
      <c r="H48" s="62"/>
      <c r="I48" s="62"/>
      <c r="J48" s="62"/>
      <c r="L48" s="10" t="s">
        <v>261</v>
      </c>
    </row>
    <row r="49" spans="2:12" x14ac:dyDescent="0.55000000000000004">
      <c r="B49" s="11" t="s">
        <v>262</v>
      </c>
      <c r="C49" s="62">
        <f>BS!V8</f>
        <v>39.777000000000001</v>
      </c>
      <c r="D49" s="62"/>
      <c r="E49" s="62"/>
      <c r="F49" s="62"/>
      <c r="G49" s="62"/>
      <c r="H49" s="62"/>
      <c r="I49" s="62"/>
      <c r="J49" s="62"/>
    </row>
    <row r="50" spans="2:12" x14ac:dyDescent="0.55000000000000004">
      <c r="B50" s="11" t="s">
        <v>263</v>
      </c>
      <c r="C50" s="62">
        <f>BS!V9</f>
        <v>5.718</v>
      </c>
      <c r="D50" s="62"/>
      <c r="E50" s="62"/>
      <c r="F50" s="62"/>
      <c r="G50" s="62"/>
      <c r="H50" s="62"/>
      <c r="I50" s="62"/>
      <c r="J50" s="62"/>
    </row>
    <row r="51" spans="2:12" x14ac:dyDescent="0.55000000000000004">
      <c r="B51" s="11" t="s">
        <v>264</v>
      </c>
      <c r="C51" s="62">
        <f>BS!V14+BS!V11</f>
        <v>47.765000000000001</v>
      </c>
      <c r="D51" s="62"/>
      <c r="E51" s="62"/>
      <c r="F51" s="62"/>
      <c r="G51" s="62"/>
      <c r="H51" s="62"/>
      <c r="I51" s="62"/>
      <c r="J51" s="62"/>
    </row>
    <row r="52" spans="2:12" x14ac:dyDescent="0.55000000000000004">
      <c r="B52" s="11" t="s">
        <v>265</v>
      </c>
      <c r="C52" s="62">
        <f>BS!V16</f>
        <v>49.834000000000003</v>
      </c>
      <c r="D52" s="62"/>
      <c r="E52" s="62"/>
      <c r="F52" s="62"/>
      <c r="G52" s="62"/>
      <c r="H52" s="62"/>
      <c r="I52" s="62"/>
      <c r="J52" s="62"/>
      <c r="L52" s="10" t="s">
        <v>266</v>
      </c>
    </row>
    <row r="53" spans="2:12" x14ac:dyDescent="0.55000000000000004">
      <c r="B53" s="11" t="s">
        <v>267</v>
      </c>
      <c r="C53" s="62">
        <f>BS!V19</f>
        <v>83.727000000000004</v>
      </c>
      <c r="D53" s="62"/>
      <c r="E53" s="62"/>
      <c r="F53" s="62"/>
      <c r="G53" s="62"/>
      <c r="H53" s="62"/>
      <c r="I53" s="62"/>
      <c r="J53" s="62"/>
    </row>
    <row r="54" spans="2:12" ht="14.1" x14ac:dyDescent="0.55000000000000004">
      <c r="B54" s="47" t="s">
        <v>23</v>
      </c>
      <c r="C54" s="65">
        <f>SUM(C47:C53)</f>
        <v>359.24099999999999</v>
      </c>
      <c r="D54" s="65"/>
      <c r="E54" s="65"/>
      <c r="F54" s="65"/>
      <c r="G54" s="65"/>
      <c r="H54" s="65"/>
      <c r="I54" s="65"/>
      <c r="J54" s="65"/>
    </row>
    <row r="55" spans="2:12" ht="14.1" x14ac:dyDescent="0.55000000000000004">
      <c r="B55" s="12"/>
    </row>
    <row r="56" spans="2:12" x14ac:dyDescent="0.55000000000000004">
      <c r="B56" s="11" t="s">
        <v>112</v>
      </c>
      <c r="C56" s="62">
        <f>BS!V23</f>
        <v>69.86</v>
      </c>
      <c r="D56" s="62"/>
      <c r="E56" s="62"/>
      <c r="F56" s="62"/>
      <c r="G56" s="62"/>
      <c r="H56" s="62"/>
      <c r="I56" s="62"/>
      <c r="J56" s="62"/>
    </row>
    <row r="57" spans="2:12" x14ac:dyDescent="0.55000000000000004">
      <c r="B57" s="11" t="s">
        <v>268</v>
      </c>
      <c r="C57" s="62">
        <f>BS!V24+BS!V26</f>
        <v>75.442000000000007</v>
      </c>
      <c r="D57" s="62"/>
      <c r="E57" s="62"/>
      <c r="F57" s="62"/>
      <c r="G57" s="62"/>
      <c r="H57" s="62"/>
      <c r="I57" s="62"/>
      <c r="J57" s="62"/>
    </row>
    <row r="58" spans="2:12" x14ac:dyDescent="0.55000000000000004">
      <c r="B58" s="11" t="s">
        <v>140</v>
      </c>
      <c r="C58" s="62">
        <f>BS!V27+BS!V28</f>
        <v>20.329000000000001</v>
      </c>
      <c r="D58" s="62"/>
      <c r="E58" s="62"/>
      <c r="F58" s="62"/>
      <c r="G58" s="62"/>
      <c r="H58" s="62"/>
      <c r="I58" s="62"/>
      <c r="J58" s="62"/>
    </row>
    <row r="59" spans="2:12" x14ac:dyDescent="0.55000000000000004">
      <c r="B59" s="11" t="s">
        <v>269</v>
      </c>
      <c r="C59" s="62">
        <f>BS!V29</f>
        <v>78.328000000000003</v>
      </c>
      <c r="D59" s="62"/>
      <c r="E59" s="62"/>
      <c r="F59" s="62"/>
      <c r="G59" s="62"/>
      <c r="H59" s="62"/>
      <c r="I59" s="62"/>
      <c r="J59" s="62"/>
    </row>
    <row r="60" spans="2:12" x14ac:dyDescent="0.55000000000000004">
      <c r="B60" s="11" t="s">
        <v>270</v>
      </c>
      <c r="C60" s="62">
        <f>BS!V30</f>
        <v>41.548999999999999</v>
      </c>
      <c r="D60" s="62"/>
      <c r="E60" s="62"/>
      <c r="F60" s="62"/>
      <c r="G60" s="62"/>
      <c r="H60" s="62"/>
      <c r="I60" s="62"/>
      <c r="J60" s="62"/>
    </row>
    <row r="61" spans="2:12" x14ac:dyDescent="0.55000000000000004">
      <c r="B61" s="11" t="s">
        <v>271</v>
      </c>
      <c r="C61" s="62">
        <f>SUM(C56:C60)</f>
        <v>285.50800000000004</v>
      </c>
      <c r="D61" s="62"/>
      <c r="E61" s="62"/>
      <c r="F61" s="62"/>
      <c r="G61" s="62"/>
      <c r="H61" s="62"/>
      <c r="I61" s="62"/>
      <c r="J61" s="62"/>
    </row>
    <row r="62" spans="2:12" x14ac:dyDescent="0.55000000000000004">
      <c r="B62" s="11" t="s">
        <v>272</v>
      </c>
      <c r="C62" s="62">
        <f>BS!V33</f>
        <v>73.733000000000004</v>
      </c>
      <c r="D62" s="62"/>
      <c r="E62" s="62"/>
      <c r="F62" s="62"/>
      <c r="G62" s="62"/>
      <c r="H62" s="62"/>
      <c r="I62" s="62"/>
      <c r="J62" s="62"/>
      <c r="L62" s="10" t="s">
        <v>273</v>
      </c>
    </row>
    <row r="63" spans="2:12" ht="14.1" x14ac:dyDescent="0.55000000000000004">
      <c r="B63" s="47" t="s">
        <v>274</v>
      </c>
      <c r="C63" s="66">
        <f>SUM(C61:C62)</f>
        <v>359.24100000000004</v>
      </c>
      <c r="D63" s="66"/>
      <c r="E63" s="66"/>
      <c r="F63" s="66"/>
      <c r="G63" s="66"/>
      <c r="H63" s="66"/>
      <c r="I63" s="66"/>
      <c r="J63" s="66"/>
    </row>
    <row r="64" spans="2:12" x14ac:dyDescent="0.55000000000000004">
      <c r="C64" s="67"/>
    </row>
    <row r="65" spans="2:10" ht="14.1" x14ac:dyDescent="0.55000000000000004">
      <c r="B65" s="27" t="s">
        <v>275</v>
      </c>
      <c r="C65" s="20"/>
      <c r="D65" s="20"/>
      <c r="E65" s="20"/>
      <c r="F65" s="20"/>
      <c r="G65" s="20"/>
      <c r="H65" s="20"/>
      <c r="I65" s="20"/>
      <c r="J65" s="20"/>
    </row>
    <row r="66" spans="2:10" x14ac:dyDescent="0.55000000000000004">
      <c r="B66" s="11" t="s">
        <v>147</v>
      </c>
      <c r="C66" s="13"/>
      <c r="D66" s="13"/>
      <c r="E66" s="13"/>
      <c r="F66" s="13"/>
      <c r="G66" s="13"/>
      <c r="H66" s="13"/>
      <c r="I66" s="13"/>
      <c r="J66" s="13"/>
    </row>
    <row r="67" spans="2:10" x14ac:dyDescent="0.55000000000000004">
      <c r="B67" s="11" t="s">
        <v>276</v>
      </c>
      <c r="C67" s="13"/>
      <c r="D67" s="13"/>
      <c r="E67" s="13"/>
      <c r="F67" s="13"/>
      <c r="G67" s="13"/>
      <c r="H67" s="13"/>
      <c r="I67" s="13"/>
      <c r="J67" s="13"/>
    </row>
    <row r="68" spans="2:10" x14ac:dyDescent="0.55000000000000004">
      <c r="B68" s="11" t="s">
        <v>144</v>
      </c>
      <c r="C68" s="13">
        <v>15</v>
      </c>
      <c r="D68" s="13"/>
      <c r="E68" s="13"/>
      <c r="F68" s="13"/>
      <c r="G68" s="13"/>
      <c r="H68" s="13"/>
      <c r="I68" s="13"/>
      <c r="J68" s="13"/>
    </row>
    <row r="69" spans="2:10" x14ac:dyDescent="0.55000000000000004">
      <c r="B69" s="11" t="s">
        <v>277</v>
      </c>
      <c r="C69" s="13"/>
      <c r="D69" s="13"/>
      <c r="E69" s="13"/>
      <c r="F69" s="13"/>
      <c r="G69" s="13"/>
      <c r="H69" s="13"/>
      <c r="I69" s="13"/>
      <c r="J69" s="13"/>
    </row>
    <row r="70" spans="2:10" x14ac:dyDescent="0.55000000000000004">
      <c r="B70" s="11"/>
      <c r="C70" s="13"/>
      <c r="D70" s="13"/>
      <c r="E70" s="13"/>
      <c r="F70" s="13"/>
      <c r="G70" s="13"/>
      <c r="H70" s="13"/>
      <c r="I70" s="13"/>
      <c r="J70" s="13"/>
    </row>
    <row r="71" spans="2:10" ht="14.1" x14ac:dyDescent="0.55000000000000004">
      <c r="B71" s="11"/>
      <c r="D71" s="57" t="s">
        <v>227</v>
      </c>
      <c r="E71" s="57" t="s">
        <v>227</v>
      </c>
      <c r="F71" s="57" t="s">
        <v>227</v>
      </c>
      <c r="G71" s="57" t="s">
        <v>227</v>
      </c>
      <c r="H71" s="57" t="s">
        <v>227</v>
      </c>
      <c r="I71" s="57" t="s">
        <v>227</v>
      </c>
      <c r="J71" s="57" t="s">
        <v>227</v>
      </c>
    </row>
    <row r="72" spans="2:10" ht="14.1" x14ac:dyDescent="0.55000000000000004">
      <c r="B72" s="27" t="s">
        <v>278</v>
      </c>
      <c r="C72" s="20"/>
      <c r="D72" s="20">
        <f t="shared" ref="D72:J72" si="8">D46</f>
        <v>2026</v>
      </c>
      <c r="E72" s="20">
        <f t="shared" si="8"/>
        <v>2027</v>
      </c>
      <c r="F72" s="20">
        <f t="shared" si="8"/>
        <v>2028</v>
      </c>
      <c r="G72" s="20">
        <f t="shared" si="8"/>
        <v>2029</v>
      </c>
      <c r="H72" s="20">
        <f t="shared" si="8"/>
        <v>2030</v>
      </c>
      <c r="I72" s="20">
        <f t="shared" si="8"/>
        <v>2031</v>
      </c>
      <c r="J72" s="20">
        <f t="shared" si="8"/>
        <v>2032</v>
      </c>
    </row>
    <row r="73" spans="2:10" x14ac:dyDescent="0.55000000000000004">
      <c r="B73" s="11" t="s">
        <v>279</v>
      </c>
      <c r="D73" s="62"/>
      <c r="E73" s="62"/>
      <c r="F73" s="62"/>
      <c r="G73" s="62"/>
      <c r="H73" s="62"/>
      <c r="I73" s="62"/>
      <c r="J73" s="62"/>
    </row>
    <row r="74" spans="2:10" x14ac:dyDescent="0.55000000000000004">
      <c r="B74" s="11" t="s">
        <v>276</v>
      </c>
      <c r="D74" s="62"/>
      <c r="E74" s="62"/>
      <c r="F74" s="62"/>
      <c r="G74" s="62"/>
      <c r="H74" s="62"/>
      <c r="I74" s="62"/>
      <c r="J74" s="62"/>
    </row>
    <row r="75" spans="2:10" x14ac:dyDescent="0.55000000000000004">
      <c r="B75" s="11" t="s">
        <v>147</v>
      </c>
      <c r="D75" s="62"/>
      <c r="E75" s="62"/>
      <c r="F75" s="62"/>
      <c r="G75" s="62"/>
      <c r="H75" s="62"/>
      <c r="I75" s="62"/>
      <c r="J75" s="62"/>
    </row>
    <row r="76" spans="2:10" x14ac:dyDescent="0.55000000000000004">
      <c r="B76" s="11" t="s">
        <v>280</v>
      </c>
      <c r="D76" s="62"/>
      <c r="E76" s="62"/>
      <c r="F76" s="62"/>
      <c r="G76" s="62"/>
      <c r="H76" s="62"/>
      <c r="I76" s="62"/>
      <c r="J76" s="62"/>
    </row>
    <row r="77" spans="2:10" x14ac:dyDescent="0.55000000000000004">
      <c r="B77" s="11" t="s">
        <v>281</v>
      </c>
      <c r="D77" s="62"/>
      <c r="E77" s="62"/>
      <c r="F77" s="62"/>
      <c r="G77" s="62"/>
      <c r="H77" s="62"/>
      <c r="I77" s="62"/>
      <c r="J77" s="62"/>
    </row>
    <row r="78" spans="2:10" x14ac:dyDescent="0.55000000000000004">
      <c r="B78" s="11" t="s">
        <v>282</v>
      </c>
      <c r="D78" s="62"/>
      <c r="E78" s="62"/>
      <c r="F78" s="62"/>
      <c r="G78" s="62"/>
      <c r="H78" s="62"/>
      <c r="I78" s="62"/>
      <c r="J78" s="62"/>
    </row>
    <row r="79" spans="2:10" x14ac:dyDescent="0.55000000000000004">
      <c r="B79" s="11" t="s">
        <v>283</v>
      </c>
      <c r="D79" s="62"/>
      <c r="E79" s="62"/>
      <c r="F79" s="62"/>
      <c r="G79" s="62"/>
      <c r="H79" s="62"/>
      <c r="I79" s="62"/>
      <c r="J79" s="62"/>
    </row>
    <row r="80" spans="2:10" x14ac:dyDescent="0.55000000000000004">
      <c r="B80" s="11" t="s">
        <v>284</v>
      </c>
      <c r="D80" s="62"/>
      <c r="E80" s="62"/>
      <c r="F80" s="62"/>
      <c r="G80" s="62"/>
      <c r="H80" s="62"/>
      <c r="I80" s="62"/>
      <c r="J80" s="62"/>
    </row>
    <row r="81" spans="2:10" x14ac:dyDescent="0.55000000000000004">
      <c r="B81" s="44" t="s">
        <v>285</v>
      </c>
      <c r="C81" s="21"/>
      <c r="D81" s="63"/>
      <c r="E81" s="63"/>
      <c r="F81" s="63"/>
      <c r="G81" s="63"/>
      <c r="H81" s="63"/>
      <c r="I81" s="63"/>
      <c r="J81" s="63"/>
    </row>
    <row r="82" spans="2:10" ht="14.1" x14ac:dyDescent="0.55000000000000004">
      <c r="B82" s="12" t="s">
        <v>286</v>
      </c>
      <c r="C82" s="16"/>
      <c r="D82" s="64"/>
      <c r="E82" s="64"/>
      <c r="F82" s="64"/>
      <c r="G82" s="64"/>
      <c r="H82" s="64"/>
      <c r="I82" s="64"/>
      <c r="J82" s="64"/>
    </row>
    <row r="83" spans="2:10" ht="14.1" x14ac:dyDescent="0.55000000000000004">
      <c r="B83" s="44" t="s">
        <v>287</v>
      </c>
      <c r="C83" s="20"/>
      <c r="D83" s="68"/>
      <c r="E83" s="68"/>
      <c r="F83" s="68"/>
      <c r="G83" s="69"/>
      <c r="H83" s="69"/>
      <c r="I83" s="70"/>
      <c r="J83" s="70"/>
    </row>
    <row r="84" spans="2:10" ht="14.1" x14ac:dyDescent="0.55000000000000004">
      <c r="B84" s="12" t="s">
        <v>288</v>
      </c>
      <c r="C84" s="16"/>
      <c r="D84" s="64"/>
      <c r="E84" s="64"/>
      <c r="F84" s="64"/>
      <c r="G84" s="64"/>
      <c r="H84" s="64"/>
      <c r="I84" s="71"/>
      <c r="J84" s="71"/>
    </row>
    <row r="85" spans="2:10" ht="14.4" thickBot="1" x14ac:dyDescent="0.6">
      <c r="B85" s="12"/>
      <c r="C85" s="16"/>
      <c r="D85" s="64"/>
      <c r="E85" s="64"/>
      <c r="F85" s="64"/>
      <c r="G85" s="64"/>
      <c r="H85" s="64"/>
      <c r="I85" s="64"/>
      <c r="J85" s="64"/>
    </row>
    <row r="86" spans="2:10" ht="14.1" x14ac:dyDescent="0.55000000000000004">
      <c r="B86" s="72" t="s">
        <v>289</v>
      </c>
      <c r="C86" s="73"/>
      <c r="D86" s="16"/>
      <c r="E86" s="16"/>
      <c r="F86" s="16"/>
      <c r="G86" s="16"/>
      <c r="H86" s="16"/>
      <c r="I86" s="16"/>
      <c r="J86" s="16"/>
    </row>
    <row r="87" spans="2:10" x14ac:dyDescent="0.55000000000000004">
      <c r="B87" s="74" t="s">
        <v>290</v>
      </c>
      <c r="C87" s="75"/>
    </row>
    <row r="88" spans="2:10" x14ac:dyDescent="0.55000000000000004">
      <c r="B88" s="76" t="s">
        <v>291</v>
      </c>
      <c r="C88" s="77"/>
    </row>
    <row r="89" spans="2:10" ht="14.1" x14ac:dyDescent="0.55000000000000004">
      <c r="B89" s="78" t="s">
        <v>292</v>
      </c>
      <c r="C89" s="79"/>
      <c r="E89" s="10" t="s">
        <v>293</v>
      </c>
    </row>
    <row r="90" spans="2:10" x14ac:dyDescent="0.55000000000000004">
      <c r="B90" s="74" t="s">
        <v>294</v>
      </c>
      <c r="C90" s="80">
        <f>'cost of capital'!C12</f>
        <v>14.8</v>
      </c>
    </row>
    <row r="91" spans="2:10" ht="14.4" thickBot="1" x14ac:dyDescent="0.6">
      <c r="B91" s="81" t="s">
        <v>217</v>
      </c>
      <c r="C91" s="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91"/>
  <sheetViews>
    <sheetView tabSelected="1" workbookViewId="0"/>
  </sheetViews>
  <sheetFormatPr defaultColWidth="9.1015625" defaultRowHeight="13.8" x14ac:dyDescent="0.55000000000000004"/>
  <cols>
    <col min="1" max="1" width="4.83984375" style="10" customWidth="1"/>
    <col min="2" max="2" width="60.26171875" style="10" customWidth="1"/>
    <col min="3" max="10" width="12.68359375" style="10" customWidth="1"/>
    <col min="11" max="11" width="6.1015625" style="10" customWidth="1"/>
    <col min="12" max="16384" width="9.1015625" style="10"/>
  </cols>
  <sheetData>
    <row r="2" spans="2:12" ht="14.1" x14ac:dyDescent="0.55000000000000004">
      <c r="B2" s="18" t="s">
        <v>224</v>
      </c>
    </row>
    <row r="3" spans="2:12" ht="14.1" x14ac:dyDescent="0.55000000000000004">
      <c r="B3" s="18" t="s">
        <v>349</v>
      </c>
    </row>
    <row r="5" spans="2:12" ht="14.1" x14ac:dyDescent="0.55000000000000004">
      <c r="B5" s="16" t="s">
        <v>225</v>
      </c>
      <c r="C5" s="57" t="s">
        <v>226</v>
      </c>
      <c r="D5" s="57" t="s">
        <v>227</v>
      </c>
      <c r="E5" s="57" t="s">
        <v>227</v>
      </c>
      <c r="F5" s="57" t="s">
        <v>227</v>
      </c>
      <c r="G5" s="57" t="s">
        <v>227</v>
      </c>
      <c r="H5" s="57" t="s">
        <v>227</v>
      </c>
      <c r="I5" s="57" t="s">
        <v>227</v>
      </c>
      <c r="J5" s="57" t="s">
        <v>227</v>
      </c>
    </row>
    <row r="6" spans="2:12" ht="14.1" x14ac:dyDescent="0.55000000000000004">
      <c r="B6" s="20" t="s">
        <v>228</v>
      </c>
      <c r="C6" s="20">
        <v>2025</v>
      </c>
      <c r="D6" s="20">
        <v>2026</v>
      </c>
      <c r="E6" s="20">
        <v>2027</v>
      </c>
      <c r="F6" s="20">
        <v>2028</v>
      </c>
      <c r="G6" s="20">
        <v>2029</v>
      </c>
      <c r="H6" s="20">
        <v>2030</v>
      </c>
      <c r="I6" s="20">
        <v>2031</v>
      </c>
      <c r="J6" s="20">
        <v>2032</v>
      </c>
    </row>
    <row r="7" spans="2:12" x14ac:dyDescent="0.55000000000000004">
      <c r="B7" s="10" t="s">
        <v>116</v>
      </c>
      <c r="C7" s="22"/>
      <c r="D7" s="22">
        <f>'Revenue forecast'!D27</f>
        <v>0.17067307692307687</v>
      </c>
      <c r="E7" s="22">
        <f>'Revenue forecast'!E27</f>
        <v>0.11967145790554401</v>
      </c>
      <c r="F7" s="22">
        <f>'Revenue forecast'!F27</f>
        <v>7.9186839788732311E-2</v>
      </c>
      <c r="G7" s="22">
        <f>'Revenue forecast'!G27</f>
        <v>7.0000000000000007E-2</v>
      </c>
      <c r="H7" s="22">
        <f>'Revenue forecast'!H27</f>
        <v>0.06</v>
      </c>
      <c r="I7" s="22">
        <f>'Revenue forecast'!I27</f>
        <v>0.05</v>
      </c>
      <c r="J7" s="22">
        <f>'Revenue forecast'!J27</f>
        <v>0.04</v>
      </c>
      <c r="L7" s="10" t="s">
        <v>229</v>
      </c>
    </row>
    <row r="8" spans="2:12" x14ac:dyDescent="0.55000000000000004">
      <c r="B8" s="10" t="s">
        <v>230</v>
      </c>
      <c r="C8" s="22">
        <f>'IS common size'!V6</f>
        <v>0.53094835892839554</v>
      </c>
      <c r="D8" s="22">
        <v>0.51</v>
      </c>
      <c r="E8" s="22">
        <v>0.49</v>
      </c>
      <c r="F8" s="22">
        <v>0.47</v>
      </c>
      <c r="G8" s="22">
        <f>F8</f>
        <v>0.47</v>
      </c>
      <c r="H8" s="22">
        <f t="shared" ref="H8:J8" si="0">G8</f>
        <v>0.47</v>
      </c>
      <c r="I8" s="22">
        <f t="shared" si="0"/>
        <v>0.47</v>
      </c>
      <c r="J8" s="22">
        <f t="shared" si="0"/>
        <v>0.47</v>
      </c>
      <c r="L8" s="10" t="s">
        <v>231</v>
      </c>
    </row>
    <row r="9" spans="2:12" x14ac:dyDescent="0.55000000000000004">
      <c r="B9" s="10" t="s">
        <v>232</v>
      </c>
      <c r="C9" s="22">
        <f>'IS common size'!V8</f>
        <v>0.14922109472055287</v>
      </c>
      <c r="D9" s="22">
        <f>C9</f>
        <v>0.14922109472055287</v>
      </c>
      <c r="E9" s="22">
        <f t="shared" ref="E9:J12" si="1">D9</f>
        <v>0.14922109472055287</v>
      </c>
      <c r="F9" s="22">
        <f t="shared" si="1"/>
        <v>0.14922109472055287</v>
      </c>
      <c r="G9" s="22">
        <f t="shared" si="1"/>
        <v>0.14922109472055287</v>
      </c>
      <c r="H9" s="22">
        <f t="shared" si="1"/>
        <v>0.14922109472055287</v>
      </c>
      <c r="I9" s="22">
        <f t="shared" si="1"/>
        <v>0.14922109472055287</v>
      </c>
      <c r="J9" s="22">
        <f t="shared" si="1"/>
        <v>0.14922109472055287</v>
      </c>
      <c r="L9" s="10" t="s">
        <v>233</v>
      </c>
    </row>
    <row r="10" spans="2:12" x14ac:dyDescent="0.55000000000000004">
      <c r="B10" s="10" t="s">
        <v>234</v>
      </c>
      <c r="C10" s="22">
        <v>0.03</v>
      </c>
      <c r="D10" s="22">
        <f t="shared" ref="D10:D12" si="2">C10</f>
        <v>0.03</v>
      </c>
      <c r="E10" s="22">
        <v>0.04</v>
      </c>
      <c r="F10" s="22">
        <f t="shared" si="1"/>
        <v>0.04</v>
      </c>
      <c r="G10" s="22">
        <f t="shared" si="1"/>
        <v>0.04</v>
      </c>
      <c r="H10" s="22">
        <f t="shared" si="1"/>
        <v>0.04</v>
      </c>
      <c r="I10" s="22">
        <f t="shared" si="1"/>
        <v>0.04</v>
      </c>
      <c r="J10" s="22">
        <f t="shared" si="1"/>
        <v>0.04</v>
      </c>
      <c r="L10" s="10" t="s">
        <v>235</v>
      </c>
    </row>
    <row r="11" spans="2:12" x14ac:dyDescent="0.55000000000000004">
      <c r="B11" s="10" t="s">
        <v>143</v>
      </c>
      <c r="C11" s="22">
        <v>0.05</v>
      </c>
      <c r="D11" s="22">
        <f t="shared" si="2"/>
        <v>0.05</v>
      </c>
      <c r="E11" s="22">
        <v>0.05</v>
      </c>
      <c r="F11" s="22">
        <f t="shared" si="1"/>
        <v>0.05</v>
      </c>
      <c r="G11" s="22">
        <f t="shared" si="1"/>
        <v>0.05</v>
      </c>
      <c r="H11" s="22">
        <f t="shared" si="1"/>
        <v>0.05</v>
      </c>
      <c r="I11" s="22">
        <f t="shared" si="1"/>
        <v>0.05</v>
      </c>
      <c r="J11" s="22">
        <f t="shared" si="1"/>
        <v>0.05</v>
      </c>
      <c r="L11" s="10" t="s">
        <v>235</v>
      </c>
    </row>
    <row r="12" spans="2:12" x14ac:dyDescent="0.55000000000000004">
      <c r="B12" s="10" t="s">
        <v>236</v>
      </c>
      <c r="C12" s="22">
        <v>0.2</v>
      </c>
      <c r="D12" s="22">
        <f t="shared" si="2"/>
        <v>0.2</v>
      </c>
      <c r="E12" s="22">
        <f t="shared" si="1"/>
        <v>0.2</v>
      </c>
      <c r="F12" s="22">
        <f t="shared" si="1"/>
        <v>0.2</v>
      </c>
      <c r="G12" s="22">
        <f t="shared" si="1"/>
        <v>0.2</v>
      </c>
      <c r="H12" s="22">
        <f t="shared" si="1"/>
        <v>0.2</v>
      </c>
      <c r="I12" s="22">
        <f t="shared" si="1"/>
        <v>0.2</v>
      </c>
      <c r="J12" s="22">
        <f t="shared" si="1"/>
        <v>0.2</v>
      </c>
      <c r="L12" s="10" t="s">
        <v>237</v>
      </c>
    </row>
    <row r="13" spans="2:12" ht="14.1" x14ac:dyDescent="0.55000000000000004">
      <c r="B13" s="20" t="s">
        <v>238</v>
      </c>
      <c r="C13" s="58"/>
      <c r="D13" s="20"/>
      <c r="E13" s="20"/>
      <c r="F13" s="20"/>
      <c r="G13" s="20"/>
      <c r="H13" s="20"/>
      <c r="I13" s="20"/>
      <c r="J13" s="20"/>
    </row>
    <row r="14" spans="2:12" x14ac:dyDescent="0.55000000000000004">
      <c r="B14" s="10" t="s">
        <v>239</v>
      </c>
      <c r="C14" s="13">
        <f>C47</f>
        <v>35.933999999999997</v>
      </c>
      <c r="D14" s="13">
        <f t="shared" ref="D14:J23" si="3">C14</f>
        <v>35.933999999999997</v>
      </c>
      <c r="E14" s="13">
        <f t="shared" si="3"/>
        <v>35.933999999999997</v>
      </c>
      <c r="F14" s="13">
        <f t="shared" si="3"/>
        <v>35.933999999999997</v>
      </c>
      <c r="G14" s="13">
        <f t="shared" si="3"/>
        <v>35.933999999999997</v>
      </c>
      <c r="H14" s="13">
        <f t="shared" si="3"/>
        <v>35.933999999999997</v>
      </c>
      <c r="I14" s="13">
        <f t="shared" si="3"/>
        <v>35.933999999999997</v>
      </c>
      <c r="J14" s="13">
        <f t="shared" si="3"/>
        <v>35.933999999999997</v>
      </c>
      <c r="L14" s="10" t="s">
        <v>233</v>
      </c>
    </row>
    <row r="15" spans="2:12" x14ac:dyDescent="0.55000000000000004">
      <c r="B15" s="10" t="s">
        <v>240</v>
      </c>
      <c r="C15" s="13">
        <f>C58</f>
        <v>20.329000000000001</v>
      </c>
      <c r="D15" s="13">
        <f t="shared" si="3"/>
        <v>20.329000000000001</v>
      </c>
      <c r="E15" s="13">
        <f t="shared" si="3"/>
        <v>20.329000000000001</v>
      </c>
      <c r="F15" s="13">
        <f t="shared" si="3"/>
        <v>20.329000000000001</v>
      </c>
      <c r="G15" s="13">
        <f t="shared" si="3"/>
        <v>20.329000000000001</v>
      </c>
      <c r="H15" s="13">
        <f t="shared" si="3"/>
        <v>20.329000000000001</v>
      </c>
      <c r="I15" s="13">
        <f t="shared" si="3"/>
        <v>20.329000000000001</v>
      </c>
      <c r="J15" s="13">
        <f t="shared" si="3"/>
        <v>20.329000000000001</v>
      </c>
      <c r="L15" s="10" t="s">
        <v>233</v>
      </c>
    </row>
    <row r="16" spans="2:12" x14ac:dyDescent="0.55000000000000004">
      <c r="B16" s="10" t="s">
        <v>241</v>
      </c>
      <c r="C16" s="13">
        <f>C59</f>
        <v>78.328000000000003</v>
      </c>
      <c r="D16" s="13">
        <f t="shared" si="3"/>
        <v>78.328000000000003</v>
      </c>
      <c r="E16" s="13">
        <f t="shared" si="3"/>
        <v>78.328000000000003</v>
      </c>
      <c r="F16" s="13">
        <f t="shared" si="3"/>
        <v>78.328000000000003</v>
      </c>
      <c r="G16" s="13">
        <f t="shared" si="3"/>
        <v>78.328000000000003</v>
      </c>
      <c r="H16" s="13">
        <f t="shared" si="3"/>
        <v>78.328000000000003</v>
      </c>
      <c r="I16" s="13">
        <f t="shared" si="3"/>
        <v>78.328000000000003</v>
      </c>
      <c r="J16" s="13">
        <f t="shared" si="3"/>
        <v>78.328000000000003</v>
      </c>
      <c r="L16" s="10" t="s">
        <v>233</v>
      </c>
    </row>
    <row r="17" spans="2:12" x14ac:dyDescent="0.55000000000000004">
      <c r="B17" s="10" t="s">
        <v>242</v>
      </c>
      <c r="C17" s="22">
        <v>5.8721745624100694E-2</v>
      </c>
      <c r="D17" s="22">
        <f t="shared" si="3"/>
        <v>5.8721745624100694E-2</v>
      </c>
      <c r="E17" s="22">
        <f t="shared" si="3"/>
        <v>5.8721745624100694E-2</v>
      </c>
      <c r="F17" s="22">
        <f t="shared" si="3"/>
        <v>5.8721745624100694E-2</v>
      </c>
      <c r="G17" s="22">
        <f t="shared" si="3"/>
        <v>5.8721745624100694E-2</v>
      </c>
      <c r="H17" s="22">
        <f t="shared" si="3"/>
        <v>5.8721745624100694E-2</v>
      </c>
      <c r="I17" s="22">
        <f t="shared" si="3"/>
        <v>5.8721745624100694E-2</v>
      </c>
      <c r="J17" s="22">
        <f t="shared" si="3"/>
        <v>5.8721745624100694E-2</v>
      </c>
      <c r="L17" s="10" t="s">
        <v>233</v>
      </c>
    </row>
    <row r="18" spans="2:12" x14ac:dyDescent="0.55000000000000004">
      <c r="B18" s="10" t="s">
        <v>206</v>
      </c>
      <c r="C18" s="22">
        <v>2.3950365359550363E-2</v>
      </c>
      <c r="D18" s="22">
        <f t="shared" si="3"/>
        <v>2.3950365359550363E-2</v>
      </c>
      <c r="E18" s="22">
        <f t="shared" si="3"/>
        <v>2.3950365359550363E-2</v>
      </c>
      <c r="F18" s="22">
        <f t="shared" si="3"/>
        <v>2.3950365359550363E-2</v>
      </c>
      <c r="G18" s="22">
        <f t="shared" si="3"/>
        <v>2.3950365359550363E-2</v>
      </c>
      <c r="H18" s="22">
        <f t="shared" si="3"/>
        <v>2.3950365359550363E-2</v>
      </c>
      <c r="I18" s="22">
        <f t="shared" si="3"/>
        <v>2.3950365359550363E-2</v>
      </c>
      <c r="J18" s="22">
        <f t="shared" si="3"/>
        <v>2.3950365359550363E-2</v>
      </c>
      <c r="L18" s="10" t="s">
        <v>233</v>
      </c>
    </row>
    <row r="19" spans="2:12" x14ac:dyDescent="0.55000000000000004">
      <c r="B19" s="10" t="s">
        <v>243</v>
      </c>
      <c r="C19" s="13">
        <f>C53</f>
        <v>83.727000000000004</v>
      </c>
      <c r="D19" s="13">
        <f t="shared" si="3"/>
        <v>83.727000000000004</v>
      </c>
      <c r="E19" s="13">
        <f t="shared" si="3"/>
        <v>83.727000000000004</v>
      </c>
      <c r="F19" s="13">
        <f t="shared" si="3"/>
        <v>83.727000000000004</v>
      </c>
      <c r="G19" s="13">
        <f t="shared" si="3"/>
        <v>83.727000000000004</v>
      </c>
      <c r="H19" s="13">
        <f t="shared" si="3"/>
        <v>83.727000000000004</v>
      </c>
      <c r="I19" s="13">
        <f t="shared" si="3"/>
        <v>83.727000000000004</v>
      </c>
      <c r="J19" s="13">
        <f t="shared" si="3"/>
        <v>83.727000000000004</v>
      </c>
      <c r="L19" s="10" t="s">
        <v>233</v>
      </c>
    </row>
    <row r="20" spans="2:12" x14ac:dyDescent="0.55000000000000004">
      <c r="B20" s="10" t="s">
        <v>207</v>
      </c>
      <c r="C20" s="22">
        <v>0.11871482432653953</v>
      </c>
      <c r="D20" s="22">
        <f t="shared" si="3"/>
        <v>0.11871482432653953</v>
      </c>
      <c r="E20" s="22">
        <f t="shared" si="3"/>
        <v>0.11871482432653953</v>
      </c>
      <c r="F20" s="22">
        <f t="shared" si="3"/>
        <v>0.11871482432653953</v>
      </c>
      <c r="G20" s="22">
        <f t="shared" si="3"/>
        <v>0.11871482432653953</v>
      </c>
      <c r="H20" s="22">
        <f t="shared" si="3"/>
        <v>0.11871482432653953</v>
      </c>
      <c r="I20" s="22">
        <f t="shared" si="3"/>
        <v>0.11871482432653953</v>
      </c>
      <c r="J20" s="22">
        <f t="shared" si="3"/>
        <v>0.11871482432653953</v>
      </c>
      <c r="L20" s="10" t="s">
        <v>233</v>
      </c>
    </row>
    <row r="21" spans="2:12" x14ac:dyDescent="0.55000000000000004">
      <c r="B21" s="10" t="s">
        <v>208</v>
      </c>
      <c r="C21" s="22">
        <v>0.24944709511143615</v>
      </c>
      <c r="D21" s="22">
        <f t="shared" si="3"/>
        <v>0.24944709511143615</v>
      </c>
      <c r="E21" s="22">
        <f t="shared" si="3"/>
        <v>0.24944709511143615</v>
      </c>
      <c r="F21" s="22">
        <f t="shared" si="3"/>
        <v>0.24944709511143615</v>
      </c>
      <c r="G21" s="22">
        <f t="shared" si="3"/>
        <v>0.24944709511143615</v>
      </c>
      <c r="H21" s="22">
        <f t="shared" si="3"/>
        <v>0.24944709511143615</v>
      </c>
      <c r="I21" s="22">
        <f t="shared" si="3"/>
        <v>0.24944709511143615</v>
      </c>
      <c r="J21" s="22">
        <f t="shared" si="3"/>
        <v>0.24944709511143615</v>
      </c>
      <c r="L21" s="10" t="s">
        <v>233</v>
      </c>
    </row>
    <row r="22" spans="2:12" x14ac:dyDescent="0.55000000000000004">
      <c r="B22" s="10" t="s">
        <v>209</v>
      </c>
      <c r="C22" s="22">
        <v>0.29091348734068967</v>
      </c>
      <c r="D22" s="22">
        <f t="shared" si="3"/>
        <v>0.29091348734068967</v>
      </c>
      <c r="E22" s="22">
        <f t="shared" si="3"/>
        <v>0.29091348734068967</v>
      </c>
      <c r="F22" s="22">
        <f t="shared" si="3"/>
        <v>0.29091348734068967</v>
      </c>
      <c r="G22" s="22">
        <f t="shared" si="3"/>
        <v>0.29091348734068967</v>
      </c>
      <c r="H22" s="22">
        <f t="shared" si="3"/>
        <v>0.29091348734068967</v>
      </c>
      <c r="I22" s="22">
        <f t="shared" si="3"/>
        <v>0.29091348734068967</v>
      </c>
      <c r="J22" s="22">
        <f t="shared" si="3"/>
        <v>0.29091348734068967</v>
      </c>
      <c r="L22" s="10" t="s">
        <v>233</v>
      </c>
    </row>
    <row r="23" spans="2:12" x14ac:dyDescent="0.55000000000000004">
      <c r="B23" s="10" t="s">
        <v>244</v>
      </c>
      <c r="C23" s="13">
        <f>C60</f>
        <v>41.548999999999999</v>
      </c>
      <c r="D23" s="13">
        <f t="shared" si="3"/>
        <v>41.548999999999999</v>
      </c>
      <c r="E23" s="13">
        <f t="shared" si="3"/>
        <v>41.548999999999999</v>
      </c>
      <c r="F23" s="13">
        <f t="shared" si="3"/>
        <v>41.548999999999999</v>
      </c>
      <c r="G23" s="13">
        <f t="shared" si="3"/>
        <v>41.548999999999999</v>
      </c>
      <c r="H23" s="13">
        <f t="shared" si="3"/>
        <v>41.548999999999999</v>
      </c>
      <c r="I23" s="13">
        <f t="shared" si="3"/>
        <v>41.548999999999999</v>
      </c>
      <c r="J23" s="13">
        <f t="shared" si="3"/>
        <v>41.548999999999999</v>
      </c>
      <c r="L23" s="10" t="s">
        <v>233</v>
      </c>
    </row>
    <row r="24" spans="2:12" ht="14.1" x14ac:dyDescent="0.55000000000000004">
      <c r="B24" s="20" t="s">
        <v>245</v>
      </c>
      <c r="C24" s="58"/>
      <c r="D24" s="20"/>
      <c r="E24" s="20"/>
      <c r="F24" s="20"/>
      <c r="G24" s="20"/>
      <c r="H24" s="20"/>
      <c r="I24" s="20"/>
      <c r="J24" s="20"/>
    </row>
    <row r="25" spans="2:12" x14ac:dyDescent="0.55000000000000004">
      <c r="B25" s="10" t="s">
        <v>246</v>
      </c>
      <c r="C25" s="59">
        <v>0.05</v>
      </c>
      <c r="D25" s="59">
        <f>C25</f>
        <v>0.05</v>
      </c>
      <c r="E25" s="59">
        <f t="shared" ref="E25:J26" si="4">D25</f>
        <v>0.05</v>
      </c>
      <c r="F25" s="59">
        <f t="shared" si="4"/>
        <v>0.05</v>
      </c>
      <c r="G25" s="59">
        <f t="shared" si="4"/>
        <v>0.05</v>
      </c>
      <c r="H25" s="59">
        <f t="shared" si="4"/>
        <v>0.05</v>
      </c>
      <c r="I25" s="59">
        <f t="shared" si="4"/>
        <v>0.05</v>
      </c>
      <c r="J25" s="59">
        <f t="shared" si="4"/>
        <v>0.05</v>
      </c>
    </row>
    <row r="26" spans="2:12" x14ac:dyDescent="0.55000000000000004">
      <c r="B26" s="10" t="s">
        <v>366</v>
      </c>
      <c r="C26" s="60">
        <v>0.8</v>
      </c>
      <c r="D26" s="60">
        <v>0.8</v>
      </c>
      <c r="E26" s="60">
        <f>D26</f>
        <v>0.8</v>
      </c>
      <c r="F26" s="60">
        <f t="shared" si="4"/>
        <v>0.8</v>
      </c>
      <c r="G26" s="60">
        <f t="shared" si="4"/>
        <v>0.8</v>
      </c>
      <c r="H26" s="60">
        <f t="shared" si="4"/>
        <v>0.8</v>
      </c>
      <c r="I26" s="60">
        <f t="shared" si="4"/>
        <v>0.8</v>
      </c>
      <c r="J26" s="60">
        <f t="shared" si="4"/>
        <v>0.8</v>
      </c>
    </row>
    <row r="27" spans="2:12" x14ac:dyDescent="0.55000000000000004">
      <c r="B27" s="10" t="s">
        <v>248</v>
      </c>
      <c r="C27" s="13"/>
      <c r="D27" s="13">
        <v>20</v>
      </c>
      <c r="E27" s="13">
        <v>20</v>
      </c>
      <c r="F27" s="13">
        <v>10</v>
      </c>
      <c r="G27" s="13">
        <v>10</v>
      </c>
      <c r="H27" s="13"/>
      <c r="I27" s="13"/>
      <c r="J27" s="13"/>
      <c r="L27" s="10" t="s">
        <v>249</v>
      </c>
    </row>
    <row r="28" spans="2:12" x14ac:dyDescent="0.55000000000000004">
      <c r="B28" s="10" t="s">
        <v>250</v>
      </c>
      <c r="C28" s="61">
        <v>0.03</v>
      </c>
      <c r="D28" s="61">
        <v>0.05</v>
      </c>
      <c r="E28" s="61">
        <v>7.0000000000000007E-2</v>
      </c>
      <c r="F28" s="61">
        <f t="shared" ref="E28:J29" si="5">E28</f>
        <v>7.0000000000000007E-2</v>
      </c>
      <c r="G28" s="61">
        <f t="shared" si="5"/>
        <v>7.0000000000000007E-2</v>
      </c>
      <c r="H28" s="61">
        <f t="shared" si="5"/>
        <v>7.0000000000000007E-2</v>
      </c>
      <c r="I28" s="61">
        <f t="shared" si="5"/>
        <v>7.0000000000000007E-2</v>
      </c>
      <c r="J28" s="61">
        <f t="shared" si="5"/>
        <v>7.0000000000000007E-2</v>
      </c>
      <c r="L28" s="10" t="s">
        <v>365</v>
      </c>
    </row>
    <row r="29" spans="2:12" x14ac:dyDescent="0.55000000000000004">
      <c r="B29" s="10" t="s">
        <v>252</v>
      </c>
      <c r="C29" s="61">
        <v>0.8</v>
      </c>
      <c r="D29" s="61">
        <f>C29</f>
        <v>0.8</v>
      </c>
      <c r="E29" s="61">
        <f t="shared" si="5"/>
        <v>0.8</v>
      </c>
      <c r="F29" s="61">
        <f t="shared" si="5"/>
        <v>0.8</v>
      </c>
      <c r="G29" s="61">
        <f t="shared" si="5"/>
        <v>0.8</v>
      </c>
      <c r="H29" s="61">
        <f t="shared" si="5"/>
        <v>0.8</v>
      </c>
      <c r="I29" s="61">
        <f t="shared" si="5"/>
        <v>0.8</v>
      </c>
      <c r="J29" s="61">
        <f t="shared" si="5"/>
        <v>0.8</v>
      </c>
      <c r="L29" s="10" t="s">
        <v>253</v>
      </c>
    </row>
    <row r="30" spans="2:12" x14ac:dyDescent="0.55000000000000004">
      <c r="B30" s="10" t="s">
        <v>254</v>
      </c>
      <c r="C30" s="61">
        <v>3.5000000000000003E-2</v>
      </c>
      <c r="D30" s="61"/>
      <c r="E30" s="61"/>
      <c r="F30" s="61"/>
      <c r="G30" s="61"/>
      <c r="H30" s="61"/>
      <c r="I30" s="61"/>
      <c r="J30" s="61"/>
    </row>
    <row r="32" spans="2:12" ht="14.1" x14ac:dyDescent="0.55000000000000004">
      <c r="B32" s="16"/>
      <c r="C32" s="16" t="s">
        <v>255</v>
      </c>
      <c r="D32" s="16" t="s">
        <v>227</v>
      </c>
      <c r="E32" s="16" t="s">
        <v>227</v>
      </c>
      <c r="F32" s="16" t="s">
        <v>227</v>
      </c>
      <c r="G32" s="16" t="s">
        <v>227</v>
      </c>
      <c r="H32" s="16" t="s">
        <v>227</v>
      </c>
      <c r="I32" s="16" t="s">
        <v>227</v>
      </c>
      <c r="J32" s="16" t="s">
        <v>227</v>
      </c>
    </row>
    <row r="33" spans="2:12" ht="14.1" x14ac:dyDescent="0.55000000000000004">
      <c r="B33" s="20" t="s">
        <v>256</v>
      </c>
      <c r="C33" s="20">
        <f>C6</f>
        <v>2025</v>
      </c>
      <c r="D33" s="20">
        <f t="shared" ref="D33:J33" si="6">D6</f>
        <v>2026</v>
      </c>
      <c r="E33" s="20">
        <f t="shared" si="6"/>
        <v>2027</v>
      </c>
      <c r="F33" s="20">
        <f t="shared" si="6"/>
        <v>2028</v>
      </c>
      <c r="G33" s="20">
        <f t="shared" si="6"/>
        <v>2029</v>
      </c>
      <c r="H33" s="20">
        <f t="shared" si="6"/>
        <v>2030</v>
      </c>
      <c r="I33" s="20">
        <f t="shared" si="6"/>
        <v>2031</v>
      </c>
      <c r="J33" s="20">
        <f t="shared" si="6"/>
        <v>2032</v>
      </c>
    </row>
    <row r="34" spans="2:12" x14ac:dyDescent="0.55000000000000004">
      <c r="B34" s="11" t="s">
        <v>11</v>
      </c>
      <c r="C34" s="11">
        <f>IS!V4</f>
        <v>416.161</v>
      </c>
      <c r="D34" s="62">
        <f>'Revenue forecast'!D22</f>
        <v>487</v>
      </c>
      <c r="E34" s="62">
        <f>'Revenue forecast'!E22</f>
        <v>545.28</v>
      </c>
      <c r="F34" s="62">
        <f>'Revenue forecast'!F22</f>
        <v>588.45899999999995</v>
      </c>
      <c r="G34" s="62">
        <f>'Revenue forecast'!G22</f>
        <v>629.65112999999997</v>
      </c>
      <c r="H34" s="62">
        <f>'Revenue forecast'!H22</f>
        <v>667.43019779999997</v>
      </c>
      <c r="I34" s="62">
        <f>'Revenue forecast'!I22</f>
        <v>700.80170769000006</v>
      </c>
      <c r="J34" s="62">
        <f>'Revenue forecast'!J22</f>
        <v>728.83377599760013</v>
      </c>
      <c r="L34" s="10" t="s">
        <v>257</v>
      </c>
    </row>
    <row r="35" spans="2:12" x14ac:dyDescent="0.55000000000000004">
      <c r="B35" s="11" t="s">
        <v>12</v>
      </c>
      <c r="C35" s="11">
        <f>IS!V5</f>
        <v>-220.96</v>
      </c>
      <c r="D35" s="62">
        <f t="shared" ref="D35:J35" si="7">-D34*D8</f>
        <v>-248.37</v>
      </c>
      <c r="E35" s="62">
        <f t="shared" si="7"/>
        <v>-267.18719999999996</v>
      </c>
      <c r="F35" s="62">
        <f t="shared" si="7"/>
        <v>-276.57572999999996</v>
      </c>
      <c r="G35" s="62">
        <f t="shared" si="7"/>
        <v>-295.93603109999998</v>
      </c>
      <c r="H35" s="62">
        <f t="shared" si="7"/>
        <v>-313.69219296599999</v>
      </c>
      <c r="I35" s="62">
        <f t="shared" si="7"/>
        <v>-329.3768026143</v>
      </c>
      <c r="J35" s="62">
        <f t="shared" si="7"/>
        <v>-342.55187471887206</v>
      </c>
    </row>
    <row r="36" spans="2:12" x14ac:dyDescent="0.55000000000000004">
      <c r="B36" s="11" t="s">
        <v>13</v>
      </c>
      <c r="C36" s="62">
        <f>SUM(C34:C35)</f>
        <v>195.20099999999999</v>
      </c>
      <c r="D36" s="62">
        <f t="shared" ref="D36:J36" si="8">SUM(D34:D35)</f>
        <v>238.63</v>
      </c>
      <c r="E36" s="62">
        <f t="shared" si="8"/>
        <v>278.09280000000001</v>
      </c>
      <c r="F36" s="62">
        <f t="shared" si="8"/>
        <v>311.88326999999998</v>
      </c>
      <c r="G36" s="62">
        <f t="shared" si="8"/>
        <v>333.71509889999999</v>
      </c>
      <c r="H36" s="62">
        <f t="shared" si="8"/>
        <v>353.73800483399998</v>
      </c>
      <c r="I36" s="62">
        <f t="shared" si="8"/>
        <v>371.42490507570005</v>
      </c>
      <c r="J36" s="62">
        <f t="shared" si="8"/>
        <v>386.28190127872807</v>
      </c>
    </row>
    <row r="37" spans="2:12" x14ac:dyDescent="0.55000000000000004">
      <c r="B37" s="44" t="s">
        <v>14</v>
      </c>
      <c r="C37" s="63">
        <f>IS!V7</f>
        <v>-62.1</v>
      </c>
      <c r="D37" s="63">
        <f t="shared" ref="D37:J37" si="9">-D34*D9</f>
        <v>-72.670673128909243</v>
      </c>
      <c r="E37" s="63">
        <f t="shared" si="9"/>
        <v>-81.367278529223057</v>
      </c>
      <c r="F37" s="63">
        <f t="shared" si="9"/>
        <v>-87.810496178161813</v>
      </c>
      <c r="G37" s="63">
        <f t="shared" si="9"/>
        <v>-93.957230910633143</v>
      </c>
      <c r="H37" s="63">
        <f t="shared" si="9"/>
        <v>-99.594664765271133</v>
      </c>
      <c r="I37" s="63">
        <f t="shared" si="9"/>
        <v>-104.5743980035347</v>
      </c>
      <c r="J37" s="63">
        <f t="shared" si="9"/>
        <v>-108.7573739236761</v>
      </c>
    </row>
    <row r="38" spans="2:12" ht="14.1" x14ac:dyDescent="0.55000000000000004">
      <c r="B38" s="12" t="s">
        <v>17</v>
      </c>
      <c r="C38" s="64">
        <f>SUM(C36:C37)</f>
        <v>133.101</v>
      </c>
      <c r="D38" s="64">
        <f t="shared" ref="D38:J38" si="10">SUM(D36:D37)</f>
        <v>165.95932687109075</v>
      </c>
      <c r="E38" s="64">
        <f t="shared" si="10"/>
        <v>196.72552147077695</v>
      </c>
      <c r="F38" s="64">
        <f t="shared" si="10"/>
        <v>224.07277382183815</v>
      </c>
      <c r="G38" s="64">
        <f t="shared" si="10"/>
        <v>239.75786798936684</v>
      </c>
      <c r="H38" s="64">
        <f t="shared" si="10"/>
        <v>254.14334006872883</v>
      </c>
      <c r="I38" s="64">
        <f t="shared" si="10"/>
        <v>266.85050707216533</v>
      </c>
      <c r="J38" s="64">
        <f t="shared" si="10"/>
        <v>277.52452735505199</v>
      </c>
    </row>
    <row r="39" spans="2:12" x14ac:dyDescent="0.55000000000000004">
      <c r="B39" s="11" t="s">
        <v>234</v>
      </c>
      <c r="C39" s="62"/>
      <c r="D39" s="62">
        <f>D10*C48</f>
        <v>2.8945799999999999</v>
      </c>
      <c r="E39" s="62">
        <f>E10*D48</f>
        <v>2.8527106061078293</v>
      </c>
      <c r="F39" s="62">
        <f t="shared" ref="F39:I39" si="11">F10*E48</f>
        <v>2.2824596530139378</v>
      </c>
      <c r="G39" s="62">
        <f t="shared" si="11"/>
        <v>2.1398552409162495</v>
      </c>
      <c r="H39" s="62">
        <f t="shared" si="11"/>
        <v>2.260920450336771</v>
      </c>
      <c r="I39" s="62">
        <f t="shared" si="11"/>
        <v>2.8107625917558789</v>
      </c>
      <c r="J39" s="62">
        <f>J10*I48</f>
        <v>3.3956527939049921</v>
      </c>
    </row>
    <row r="40" spans="2:12" x14ac:dyDescent="0.55000000000000004">
      <c r="B40" s="11" t="s">
        <v>143</v>
      </c>
      <c r="C40" s="62"/>
      <c r="D40" s="62">
        <f>-D11*(C58+C59)</f>
        <v>-4.9328500000000011</v>
      </c>
      <c r="E40" s="62">
        <f>-E11*(D58+D59)</f>
        <v>-4.9328500000000011</v>
      </c>
      <c r="F40" s="62">
        <f t="shared" ref="F40:J40" si="12">-F11*(E58+E59)</f>
        <v>-4.9328500000000011</v>
      </c>
      <c r="G40" s="62">
        <f t="shared" si="12"/>
        <v>-4.9328500000000011</v>
      </c>
      <c r="H40" s="62">
        <f t="shared" si="12"/>
        <v>-4.9328500000000011</v>
      </c>
      <c r="I40" s="62">
        <f t="shared" si="12"/>
        <v>-4.9328500000000011</v>
      </c>
      <c r="J40" s="62">
        <f t="shared" si="12"/>
        <v>-4.9328500000000011</v>
      </c>
    </row>
    <row r="41" spans="2:12" x14ac:dyDescent="0.55000000000000004">
      <c r="B41" s="11" t="s">
        <v>19</v>
      </c>
      <c r="C41" s="62">
        <f>IS!V12</f>
        <v>132.72900000000001</v>
      </c>
      <c r="D41" s="62">
        <f t="shared" ref="D41:I41" si="13">SUM(D38:D40)</f>
        <v>163.92105687109074</v>
      </c>
      <c r="E41" s="62">
        <f t="shared" ref="E41" si="14">SUM(E38:E40)</f>
        <v>194.64538207688477</v>
      </c>
      <c r="F41" s="62">
        <f t="shared" si="13"/>
        <v>221.4223834748521</v>
      </c>
      <c r="G41" s="62">
        <f t="shared" si="13"/>
        <v>236.9648732302831</v>
      </c>
      <c r="H41" s="62">
        <f t="shared" si="13"/>
        <v>251.47141051906559</v>
      </c>
      <c r="I41" s="62">
        <f t="shared" si="13"/>
        <v>264.72841966392122</v>
      </c>
      <c r="J41" s="62">
        <f t="shared" ref="J41" si="15">SUM(J38:J40)</f>
        <v>275.98733014895703</v>
      </c>
    </row>
    <row r="42" spans="2:12" x14ac:dyDescent="0.55000000000000004">
      <c r="B42" s="44" t="s">
        <v>20</v>
      </c>
      <c r="C42" s="63">
        <f>IS!V13</f>
        <v>-20.719000000000001</v>
      </c>
      <c r="D42" s="63">
        <f t="shared" ref="D42:J42" si="16">-D41*D12</f>
        <v>-32.784211374218152</v>
      </c>
      <c r="E42" s="63">
        <f t="shared" si="16"/>
        <v>-38.929076415376954</v>
      </c>
      <c r="F42" s="63">
        <f t="shared" si="16"/>
        <v>-44.284476694970422</v>
      </c>
      <c r="G42" s="63">
        <f t="shared" si="16"/>
        <v>-47.392974646056622</v>
      </c>
      <c r="H42" s="63">
        <f t="shared" si="16"/>
        <v>-50.294282103813117</v>
      </c>
      <c r="I42" s="63">
        <f t="shared" si="16"/>
        <v>-52.945683932784249</v>
      </c>
      <c r="J42" s="63">
        <f t="shared" si="16"/>
        <v>-55.197466029791407</v>
      </c>
    </row>
    <row r="43" spans="2:12" ht="14.1" x14ac:dyDescent="0.55000000000000004">
      <c r="B43" s="12" t="s">
        <v>21</v>
      </c>
      <c r="C43" s="64">
        <f>SUM(C41:C42)</f>
        <v>112.01000000000002</v>
      </c>
      <c r="D43" s="64">
        <f t="shared" ref="D43:J43" si="17">SUM(D41:D42)</f>
        <v>131.13684549687258</v>
      </c>
      <c r="E43" s="64">
        <f t="shared" si="17"/>
        <v>155.71630566150782</v>
      </c>
      <c r="F43" s="64">
        <f t="shared" si="17"/>
        <v>177.13790677988169</v>
      </c>
      <c r="G43" s="64">
        <f t="shared" si="17"/>
        <v>189.57189858422649</v>
      </c>
      <c r="H43" s="64">
        <f t="shared" si="17"/>
        <v>201.17712841525247</v>
      </c>
      <c r="I43" s="64">
        <f t="shared" si="17"/>
        <v>211.78273573113697</v>
      </c>
      <c r="J43" s="64">
        <f t="shared" si="17"/>
        <v>220.78986411916563</v>
      </c>
    </row>
    <row r="44" spans="2:12" x14ac:dyDescent="0.55000000000000004">
      <c r="B44" s="11"/>
    </row>
    <row r="45" spans="2:12" ht="14.1" x14ac:dyDescent="0.55000000000000004">
      <c r="B45" s="12"/>
      <c r="C45" s="57" t="s">
        <v>226</v>
      </c>
      <c r="D45" s="57" t="s">
        <v>227</v>
      </c>
      <c r="E45" s="57" t="s">
        <v>227</v>
      </c>
      <c r="F45" s="57" t="s">
        <v>227</v>
      </c>
      <c r="G45" s="57" t="s">
        <v>227</v>
      </c>
      <c r="H45" s="57" t="s">
        <v>227</v>
      </c>
      <c r="I45" s="57" t="s">
        <v>227</v>
      </c>
      <c r="J45" s="57" t="s">
        <v>227</v>
      </c>
    </row>
    <row r="46" spans="2:12" ht="14.1" x14ac:dyDescent="0.55000000000000004">
      <c r="B46" s="27" t="s">
        <v>258</v>
      </c>
      <c r="C46" s="20">
        <f>C6</f>
        <v>2025</v>
      </c>
      <c r="D46" s="20">
        <f t="shared" ref="D46:J46" si="18">D33</f>
        <v>2026</v>
      </c>
      <c r="E46" s="20">
        <f t="shared" si="18"/>
        <v>2027</v>
      </c>
      <c r="F46" s="20">
        <f t="shared" si="18"/>
        <v>2028</v>
      </c>
      <c r="G46" s="20">
        <f t="shared" si="18"/>
        <v>2029</v>
      </c>
      <c r="H46" s="20">
        <f t="shared" si="18"/>
        <v>2030</v>
      </c>
      <c r="I46" s="20">
        <f t="shared" si="18"/>
        <v>2031</v>
      </c>
      <c r="J46" s="20">
        <f t="shared" si="18"/>
        <v>2032</v>
      </c>
    </row>
    <row r="47" spans="2:12" x14ac:dyDescent="0.55000000000000004">
      <c r="B47" s="11" t="s">
        <v>259</v>
      </c>
      <c r="C47" s="62">
        <f>BS!V6</f>
        <v>35.933999999999997</v>
      </c>
      <c r="D47" s="62">
        <f>D14</f>
        <v>35.933999999999997</v>
      </c>
      <c r="E47" s="62">
        <f t="shared" ref="E47:J47" si="19">D47</f>
        <v>35.933999999999997</v>
      </c>
      <c r="F47" s="62">
        <f t="shared" si="19"/>
        <v>35.933999999999997</v>
      </c>
      <c r="G47" s="62">
        <f t="shared" si="19"/>
        <v>35.933999999999997</v>
      </c>
      <c r="H47" s="62">
        <f t="shared" si="19"/>
        <v>35.933999999999997</v>
      </c>
      <c r="I47" s="62">
        <f t="shared" si="19"/>
        <v>35.933999999999997</v>
      </c>
      <c r="J47" s="62">
        <f t="shared" si="19"/>
        <v>35.933999999999997</v>
      </c>
    </row>
    <row r="48" spans="2:12" x14ac:dyDescent="0.55000000000000004">
      <c r="B48" s="11" t="s">
        <v>260</v>
      </c>
      <c r="C48" s="62">
        <f>BS!V7+BS!V15</f>
        <v>96.486000000000004</v>
      </c>
      <c r="D48" s="62">
        <f t="shared" ref="D48:I48" si="20">D63-D47-SUM(D49:D53)</f>
        <v>71.317765152695728</v>
      </c>
      <c r="E48" s="62">
        <f t="shared" si="20"/>
        <v>57.061491325348442</v>
      </c>
      <c r="F48" s="62">
        <f t="shared" si="20"/>
        <v>53.496381022906235</v>
      </c>
      <c r="G48" s="62">
        <f t="shared" si="20"/>
        <v>56.523011258419274</v>
      </c>
      <c r="H48" s="62">
        <f t="shared" si="20"/>
        <v>70.269064793896973</v>
      </c>
      <c r="I48" s="62">
        <f t="shared" si="20"/>
        <v>84.8913198476248</v>
      </c>
      <c r="J48" s="62">
        <f>J63-J47-SUM(J49:J53)</f>
        <v>99.961390220563885</v>
      </c>
      <c r="L48" s="10" t="s">
        <v>261</v>
      </c>
    </row>
    <row r="49" spans="2:12" x14ac:dyDescent="0.55000000000000004">
      <c r="B49" s="11" t="s">
        <v>262</v>
      </c>
      <c r="C49" s="62">
        <f>BS!V8</f>
        <v>39.777000000000001</v>
      </c>
      <c r="D49" s="62">
        <f t="shared" ref="D49:J49" si="21">D17*D34</f>
        <v>28.597490118937039</v>
      </c>
      <c r="E49" s="62">
        <f t="shared" si="21"/>
        <v>32.019793453909628</v>
      </c>
      <c r="F49" s="62">
        <f t="shared" si="21"/>
        <v>34.555339708212664</v>
      </c>
      <c r="G49" s="62">
        <f t="shared" si="21"/>
        <v>36.974213487787551</v>
      </c>
      <c r="H49" s="62">
        <f t="shared" si="21"/>
        <v>39.192666297054807</v>
      </c>
      <c r="I49" s="62">
        <f t="shared" si="21"/>
        <v>41.152299611907551</v>
      </c>
      <c r="J49" s="62">
        <f t="shared" si="21"/>
        <v>42.798391596383858</v>
      </c>
    </row>
    <row r="50" spans="2:12" x14ac:dyDescent="0.55000000000000004">
      <c r="B50" s="11" t="s">
        <v>263</v>
      </c>
      <c r="C50" s="62">
        <f>BS!V9</f>
        <v>5.718</v>
      </c>
      <c r="D50" s="62">
        <f t="shared" ref="D50:J50" si="22">-D18*D35</f>
        <v>5.9485522443515242</v>
      </c>
      <c r="E50" s="62">
        <f t="shared" si="22"/>
        <v>6.3992310593952535</v>
      </c>
      <c r="F50" s="62">
        <f t="shared" si="22"/>
        <v>6.6240897830843535</v>
      </c>
      <c r="G50" s="62">
        <f t="shared" si="22"/>
        <v>7.0877760679002586</v>
      </c>
      <c r="H50" s="62">
        <f t="shared" si="22"/>
        <v>7.5130426319742742</v>
      </c>
      <c r="I50" s="62">
        <f t="shared" si="22"/>
        <v>7.888694763572988</v>
      </c>
      <c r="J50" s="62">
        <f t="shared" si="22"/>
        <v>8.2042425541159094</v>
      </c>
    </row>
    <row r="51" spans="2:12" x14ac:dyDescent="0.55000000000000004">
      <c r="B51" s="11" t="s">
        <v>264</v>
      </c>
      <c r="C51" s="62">
        <f>BS!V14+BS!V11</f>
        <v>47.765000000000001</v>
      </c>
      <c r="D51" s="62">
        <f t="shared" ref="D51:J51" si="23">D20*D34</f>
        <v>57.814119447024751</v>
      </c>
      <c r="E51" s="62">
        <f t="shared" si="23"/>
        <v>64.73281940877547</v>
      </c>
      <c r="F51" s="62">
        <f t="shared" si="23"/>
        <v>69.858806808371114</v>
      </c>
      <c r="G51" s="62">
        <f t="shared" si="23"/>
        <v>74.748923284957101</v>
      </c>
      <c r="H51" s="62">
        <f t="shared" si="23"/>
        <v>79.233858682054532</v>
      </c>
      <c r="I51" s="62">
        <f t="shared" si="23"/>
        <v>83.19555161615726</v>
      </c>
      <c r="J51" s="62">
        <f t="shared" si="23"/>
        <v>86.523373680803559</v>
      </c>
    </row>
    <row r="52" spans="2:12" x14ac:dyDescent="0.55000000000000004">
      <c r="B52" s="11" t="s">
        <v>265</v>
      </c>
      <c r="C52" s="62">
        <f>BS!V16</f>
        <v>49.834000000000003</v>
      </c>
      <c r="D52" s="62">
        <f>C52+D66-D67</f>
        <v>55.286799999999999</v>
      </c>
      <c r="E52" s="62">
        <f t="shared" ref="E52:J52" si="24">D52+E66-E67</f>
        <v>63.525225999999989</v>
      </c>
      <c r="F52" s="62">
        <f t="shared" si="24"/>
        <v>72.340341819999992</v>
      </c>
      <c r="G52" s="62">
        <f t="shared" si="24"/>
        <v>81.684364589199987</v>
      </c>
      <c r="H52" s="62">
        <f t="shared" si="24"/>
        <v>91.495588496859995</v>
      </c>
      <c r="I52" s="62">
        <f t="shared" si="24"/>
        <v>101.30681240452</v>
      </c>
      <c r="J52" s="62">
        <f t="shared" si="24"/>
        <v>111.11803631218001</v>
      </c>
      <c r="L52" s="10" t="s">
        <v>266</v>
      </c>
    </row>
    <row r="53" spans="2:12" x14ac:dyDescent="0.55000000000000004">
      <c r="B53" s="11" t="s">
        <v>267</v>
      </c>
      <c r="C53" s="62">
        <f>BS!V19</f>
        <v>83.727000000000004</v>
      </c>
      <c r="D53" s="62">
        <f t="shared" ref="D53:J53" si="25">D19</f>
        <v>83.727000000000004</v>
      </c>
      <c r="E53" s="62">
        <f t="shared" si="25"/>
        <v>83.727000000000004</v>
      </c>
      <c r="F53" s="62">
        <f t="shared" si="25"/>
        <v>83.727000000000004</v>
      </c>
      <c r="G53" s="62">
        <f t="shared" si="25"/>
        <v>83.727000000000004</v>
      </c>
      <c r="H53" s="62">
        <f t="shared" si="25"/>
        <v>83.727000000000004</v>
      </c>
      <c r="I53" s="62">
        <f t="shared" si="25"/>
        <v>83.727000000000004</v>
      </c>
      <c r="J53" s="62">
        <f t="shared" si="25"/>
        <v>83.727000000000004</v>
      </c>
    </row>
    <row r="54" spans="2:12" ht="14.1" x14ac:dyDescent="0.55000000000000004">
      <c r="B54" s="47" t="s">
        <v>23</v>
      </c>
      <c r="C54" s="65">
        <f>SUM(C47:C53)</f>
        <v>359.24099999999999</v>
      </c>
      <c r="D54" s="65">
        <f t="shared" ref="D54:J54" si="26">SUM(D47:D53)</f>
        <v>338.62572696300901</v>
      </c>
      <c r="E54" s="65">
        <f t="shared" si="26"/>
        <v>343.39956124742878</v>
      </c>
      <c r="F54" s="65">
        <f t="shared" si="26"/>
        <v>356.53595914257437</v>
      </c>
      <c r="G54" s="65">
        <f t="shared" si="26"/>
        <v>376.67928868826414</v>
      </c>
      <c r="H54" s="65">
        <f t="shared" si="26"/>
        <v>407.36522090184053</v>
      </c>
      <c r="I54" s="65">
        <f t="shared" si="26"/>
        <v>438.09567824378257</v>
      </c>
      <c r="J54" s="65">
        <f t="shared" si="26"/>
        <v>468.2664343640472</v>
      </c>
    </row>
    <row r="55" spans="2:12" ht="14.1" x14ac:dyDescent="0.55000000000000004">
      <c r="B55" s="12"/>
    </row>
    <row r="56" spans="2:12" x14ac:dyDescent="0.55000000000000004">
      <c r="B56" s="11" t="s">
        <v>112</v>
      </c>
      <c r="C56" s="62">
        <f>BS!V23</f>
        <v>69.86</v>
      </c>
      <c r="D56" s="62">
        <f t="shared" ref="D56:J56" si="27">-D21*D35</f>
        <v>61.955175012827397</v>
      </c>
      <c r="E56" s="62">
        <f t="shared" si="27"/>
        <v>66.649070890958299</v>
      </c>
      <c r="F56" s="62">
        <f t="shared" si="27"/>
        <v>68.991012426824881</v>
      </c>
      <c r="G56" s="62">
        <f t="shared" si="27"/>
        <v>73.820383296702616</v>
      </c>
      <c r="H56" s="62">
        <f t="shared" si="27"/>
        <v>78.249606294504787</v>
      </c>
      <c r="I56" s="62">
        <f t="shared" si="27"/>
        <v>82.162086609230016</v>
      </c>
      <c r="J56" s="62">
        <f t="shared" si="27"/>
        <v>85.448570073599242</v>
      </c>
    </row>
    <row r="57" spans="2:12" x14ac:dyDescent="0.55000000000000004">
      <c r="B57" s="11" t="s">
        <v>268</v>
      </c>
      <c r="C57" s="62">
        <f>BS!V24+BS!V26</f>
        <v>75.442000000000007</v>
      </c>
      <c r="D57" s="62">
        <f t="shared" ref="D57:J57" si="28">-D22*D35</f>
        <v>72.254182850807098</v>
      </c>
      <c r="E57" s="62">
        <f t="shared" si="28"/>
        <v>77.728360124794307</v>
      </c>
      <c r="F57" s="62">
        <f t="shared" si="28"/>
        <v>80.459610128096998</v>
      </c>
      <c r="G57" s="62">
        <f t="shared" si="28"/>
        <v>86.091782837063789</v>
      </c>
      <c r="H57" s="62">
        <f t="shared" si="28"/>
        <v>91.25728980728762</v>
      </c>
      <c r="I57" s="62">
        <f t="shared" si="28"/>
        <v>95.82015429765201</v>
      </c>
      <c r="J57" s="62">
        <f t="shared" si="28"/>
        <v>99.652960469558096</v>
      </c>
    </row>
    <row r="58" spans="2:12" x14ac:dyDescent="0.55000000000000004">
      <c r="B58" s="11" t="s">
        <v>140</v>
      </c>
      <c r="C58" s="62">
        <f>BS!V27+BS!V28</f>
        <v>20.329000000000001</v>
      </c>
      <c r="D58" s="62">
        <f t="shared" ref="D58:J59" si="29">D15</f>
        <v>20.329000000000001</v>
      </c>
      <c r="E58" s="62">
        <f t="shared" si="29"/>
        <v>20.329000000000001</v>
      </c>
      <c r="F58" s="62">
        <f t="shared" si="29"/>
        <v>20.329000000000001</v>
      </c>
      <c r="G58" s="62">
        <f t="shared" si="29"/>
        <v>20.329000000000001</v>
      </c>
      <c r="H58" s="62">
        <f t="shared" si="29"/>
        <v>20.329000000000001</v>
      </c>
      <c r="I58" s="62">
        <f t="shared" si="29"/>
        <v>20.329000000000001</v>
      </c>
      <c r="J58" s="62">
        <f t="shared" si="29"/>
        <v>20.329000000000001</v>
      </c>
    </row>
    <row r="59" spans="2:12" x14ac:dyDescent="0.55000000000000004">
      <c r="B59" s="11" t="s">
        <v>269</v>
      </c>
      <c r="C59" s="62">
        <f>BS!V29</f>
        <v>78.328000000000003</v>
      </c>
      <c r="D59" s="62">
        <f t="shared" si="29"/>
        <v>78.328000000000003</v>
      </c>
      <c r="E59" s="62">
        <f t="shared" si="29"/>
        <v>78.328000000000003</v>
      </c>
      <c r="F59" s="62">
        <f t="shared" si="29"/>
        <v>78.328000000000003</v>
      </c>
      <c r="G59" s="62">
        <f t="shared" si="29"/>
        <v>78.328000000000003</v>
      </c>
      <c r="H59" s="62">
        <f t="shared" si="29"/>
        <v>78.328000000000003</v>
      </c>
      <c r="I59" s="62">
        <f t="shared" si="29"/>
        <v>78.328000000000003</v>
      </c>
      <c r="J59" s="62">
        <f t="shared" si="29"/>
        <v>78.328000000000003</v>
      </c>
    </row>
    <row r="60" spans="2:12" x14ac:dyDescent="0.55000000000000004">
      <c r="B60" s="11" t="s">
        <v>270</v>
      </c>
      <c r="C60" s="62">
        <f>BS!V30</f>
        <v>41.548999999999999</v>
      </c>
      <c r="D60" s="62">
        <f t="shared" ref="D60:J60" si="30">D23</f>
        <v>41.548999999999999</v>
      </c>
      <c r="E60" s="62">
        <f t="shared" si="30"/>
        <v>41.548999999999999</v>
      </c>
      <c r="F60" s="62">
        <f t="shared" si="30"/>
        <v>41.548999999999999</v>
      </c>
      <c r="G60" s="62">
        <f t="shared" si="30"/>
        <v>41.548999999999999</v>
      </c>
      <c r="H60" s="62">
        <f t="shared" si="30"/>
        <v>41.548999999999999</v>
      </c>
      <c r="I60" s="62">
        <f t="shared" si="30"/>
        <v>41.548999999999999</v>
      </c>
      <c r="J60" s="62">
        <f t="shared" si="30"/>
        <v>41.548999999999999</v>
      </c>
    </row>
    <row r="61" spans="2:12" x14ac:dyDescent="0.55000000000000004">
      <c r="B61" s="11" t="s">
        <v>271</v>
      </c>
      <c r="C61" s="62">
        <f>SUM(C56:C60)</f>
        <v>285.50800000000004</v>
      </c>
      <c r="D61" s="62">
        <f t="shared" ref="D61:J61" si="31">SUM(D56:D60)</f>
        <v>274.41535786363448</v>
      </c>
      <c r="E61" s="62">
        <f t="shared" si="31"/>
        <v>284.58343101575264</v>
      </c>
      <c r="F61" s="62">
        <f t="shared" si="31"/>
        <v>289.65662255492191</v>
      </c>
      <c r="G61" s="62">
        <f t="shared" si="31"/>
        <v>300.11816613376641</v>
      </c>
      <c r="H61" s="62">
        <f t="shared" si="31"/>
        <v>309.71289610179235</v>
      </c>
      <c r="I61" s="62">
        <f t="shared" si="31"/>
        <v>318.18824090688202</v>
      </c>
      <c r="J61" s="62">
        <f t="shared" si="31"/>
        <v>325.30753054315733</v>
      </c>
    </row>
    <row r="62" spans="2:12" x14ac:dyDescent="0.55000000000000004">
      <c r="B62" s="11" t="s">
        <v>272</v>
      </c>
      <c r="C62" s="62">
        <f>BS!V33</f>
        <v>73.733000000000004</v>
      </c>
      <c r="D62" s="62">
        <f>C62+D43-D68-D69</f>
        <v>64.210369099374518</v>
      </c>
      <c r="E62" s="62">
        <f t="shared" ref="E62:J62" si="32">D62+E43-E68-E69</f>
        <v>58.816130231676112</v>
      </c>
      <c r="F62" s="62">
        <f t="shared" si="32"/>
        <v>66.87933658765246</v>
      </c>
      <c r="G62" s="62">
        <f t="shared" si="32"/>
        <v>76.561122554497729</v>
      </c>
      <c r="H62" s="62">
        <f t="shared" si="32"/>
        <v>97.652324800048234</v>
      </c>
      <c r="I62" s="62">
        <f t="shared" si="32"/>
        <v>119.90743733690056</v>
      </c>
      <c r="J62" s="62">
        <f t="shared" si="32"/>
        <v>142.9589038208899</v>
      </c>
      <c r="L62" s="10" t="s">
        <v>273</v>
      </c>
    </row>
    <row r="63" spans="2:12" ht="14.1" x14ac:dyDescent="0.55000000000000004">
      <c r="B63" s="47" t="s">
        <v>274</v>
      </c>
      <c r="C63" s="66">
        <f>SUM(C61:C62)</f>
        <v>359.24100000000004</v>
      </c>
      <c r="D63" s="66">
        <f t="shared" ref="D63:J63" si="33">D62+D61</f>
        <v>338.62572696300901</v>
      </c>
      <c r="E63" s="66">
        <f t="shared" si="33"/>
        <v>343.39956124742878</v>
      </c>
      <c r="F63" s="66">
        <f t="shared" si="33"/>
        <v>356.53595914257437</v>
      </c>
      <c r="G63" s="66">
        <f t="shared" si="33"/>
        <v>376.67928868826414</v>
      </c>
      <c r="H63" s="66">
        <f t="shared" si="33"/>
        <v>407.36522090184059</v>
      </c>
      <c r="I63" s="66">
        <f t="shared" si="33"/>
        <v>438.09567824378257</v>
      </c>
      <c r="J63" s="66">
        <f t="shared" si="33"/>
        <v>468.2664343640472</v>
      </c>
    </row>
    <row r="64" spans="2:12" x14ac:dyDescent="0.55000000000000004">
      <c r="C64" s="67"/>
    </row>
    <row r="65" spans="2:10" ht="14.1" x14ac:dyDescent="0.55000000000000004">
      <c r="B65" s="27" t="s">
        <v>275</v>
      </c>
      <c r="C65" s="20"/>
      <c r="D65" s="20"/>
      <c r="E65" s="20"/>
      <c r="F65" s="20"/>
      <c r="G65" s="20"/>
      <c r="H65" s="20"/>
      <c r="I65" s="20"/>
      <c r="J65" s="20"/>
    </row>
    <row r="66" spans="2:10" x14ac:dyDescent="0.55000000000000004">
      <c r="B66" s="11" t="s">
        <v>147</v>
      </c>
      <c r="C66" s="13"/>
      <c r="D66" s="13">
        <f>D28*E34</f>
        <v>27.263999999999999</v>
      </c>
      <c r="E66" s="13">
        <f t="shared" ref="E66:H66" si="34">E28*F34</f>
        <v>41.192129999999999</v>
      </c>
      <c r="F66" s="13">
        <f t="shared" si="34"/>
        <v>44.075579099999999</v>
      </c>
      <c r="G66" s="13">
        <f t="shared" si="34"/>
        <v>46.720113846000004</v>
      </c>
      <c r="H66" s="13">
        <f t="shared" si="34"/>
        <v>49.05611953830001</v>
      </c>
      <c r="I66" s="13">
        <f>H66</f>
        <v>49.05611953830001</v>
      </c>
      <c r="J66" s="13">
        <f>I66</f>
        <v>49.05611953830001</v>
      </c>
    </row>
    <row r="67" spans="2:10" x14ac:dyDescent="0.55000000000000004">
      <c r="B67" s="11" t="s">
        <v>276</v>
      </c>
      <c r="C67" s="13"/>
      <c r="D67" s="13">
        <f>D66*D29</f>
        <v>21.811199999999999</v>
      </c>
      <c r="E67" s="13">
        <f t="shared" ref="E67:H67" si="35">E66*E29</f>
        <v>32.953704000000002</v>
      </c>
      <c r="F67" s="13">
        <f t="shared" si="35"/>
        <v>35.260463280000003</v>
      </c>
      <c r="G67" s="13">
        <f t="shared" si="35"/>
        <v>37.376091076800002</v>
      </c>
      <c r="H67" s="13">
        <f t="shared" si="35"/>
        <v>39.244895630640009</v>
      </c>
      <c r="I67" s="13">
        <f>H67</f>
        <v>39.244895630640009</v>
      </c>
      <c r="J67" s="13">
        <f>I67</f>
        <v>39.244895630640009</v>
      </c>
    </row>
    <row r="68" spans="2:10" x14ac:dyDescent="0.55000000000000004">
      <c r="B68" s="11" t="s">
        <v>144</v>
      </c>
      <c r="C68" s="13">
        <v>15</v>
      </c>
      <c r="D68" s="13">
        <f>C68*(1+D25)</f>
        <v>15.75</v>
      </c>
      <c r="E68" s="13">
        <f t="shared" ref="E68:J68" si="36">D68*(1+E25)</f>
        <v>16.537500000000001</v>
      </c>
      <c r="F68" s="13">
        <f t="shared" si="36"/>
        <v>17.364375000000003</v>
      </c>
      <c r="G68" s="13">
        <f t="shared" si="36"/>
        <v>18.232593750000003</v>
      </c>
      <c r="H68" s="13">
        <f t="shared" si="36"/>
        <v>19.144223437500003</v>
      </c>
      <c r="I68" s="13">
        <f t="shared" si="36"/>
        <v>20.101434609375005</v>
      </c>
      <c r="J68" s="13">
        <f t="shared" si="36"/>
        <v>21.106506339843754</v>
      </c>
    </row>
    <row r="69" spans="2:10" x14ac:dyDescent="0.55000000000000004">
      <c r="B69" s="11" t="s">
        <v>277</v>
      </c>
      <c r="C69" s="13"/>
      <c r="D69" s="13">
        <f t="shared" ref="D69:I69" si="37">D26*D43+D27</f>
        <v>124.90947639749807</v>
      </c>
      <c r="E69" s="13">
        <f t="shared" si="37"/>
        <v>144.57304452920624</v>
      </c>
      <c r="F69" s="13">
        <f t="shared" si="37"/>
        <v>151.71032542390535</v>
      </c>
      <c r="G69" s="13">
        <f t="shared" si="37"/>
        <v>161.65751886738119</v>
      </c>
      <c r="H69" s="13">
        <f t="shared" si="37"/>
        <v>160.94170273220197</v>
      </c>
      <c r="I69" s="13">
        <f t="shared" si="37"/>
        <v>169.4261885849096</v>
      </c>
      <c r="J69" s="13">
        <f>J26*J43+J27</f>
        <v>176.63189129533251</v>
      </c>
    </row>
    <row r="70" spans="2:10" x14ac:dyDescent="0.55000000000000004">
      <c r="B70" s="11"/>
      <c r="C70" s="13"/>
      <c r="D70" s="13"/>
      <c r="E70" s="13"/>
      <c r="F70" s="13"/>
      <c r="G70" s="13"/>
      <c r="H70" s="13"/>
      <c r="I70" s="13"/>
      <c r="J70" s="13"/>
    </row>
    <row r="71" spans="2:10" ht="14.1" x14ac:dyDescent="0.55000000000000004">
      <c r="B71" s="11"/>
      <c r="D71" s="57" t="s">
        <v>227</v>
      </c>
      <c r="E71" s="57" t="s">
        <v>227</v>
      </c>
      <c r="F71" s="57" t="s">
        <v>227</v>
      </c>
      <c r="G71" s="57" t="s">
        <v>227</v>
      </c>
      <c r="H71" s="57" t="s">
        <v>227</v>
      </c>
      <c r="I71" s="57" t="s">
        <v>227</v>
      </c>
      <c r="J71" s="57" t="s">
        <v>227</v>
      </c>
    </row>
    <row r="72" spans="2:10" ht="14.1" x14ac:dyDescent="0.55000000000000004">
      <c r="B72" s="27" t="s">
        <v>278</v>
      </c>
      <c r="C72" s="20"/>
      <c r="D72" s="20">
        <f t="shared" ref="D72:J72" si="38">D46</f>
        <v>2026</v>
      </c>
      <c r="E72" s="20">
        <f t="shared" si="38"/>
        <v>2027</v>
      </c>
      <c r="F72" s="20">
        <f t="shared" si="38"/>
        <v>2028</v>
      </c>
      <c r="G72" s="20">
        <f t="shared" si="38"/>
        <v>2029</v>
      </c>
      <c r="H72" s="20">
        <f t="shared" si="38"/>
        <v>2030</v>
      </c>
      <c r="I72" s="20">
        <f t="shared" si="38"/>
        <v>2031</v>
      </c>
      <c r="J72" s="20">
        <f t="shared" si="38"/>
        <v>2032</v>
      </c>
    </row>
    <row r="73" spans="2:10" x14ac:dyDescent="0.55000000000000004">
      <c r="B73" s="11" t="s">
        <v>279</v>
      </c>
      <c r="D73" s="62">
        <f t="shared" ref="D73:J73" si="39">D38*(1-D12)</f>
        <v>132.76746149687261</v>
      </c>
      <c r="E73" s="62">
        <f t="shared" si="39"/>
        <v>157.38041717662156</v>
      </c>
      <c r="F73" s="62">
        <f t="shared" si="39"/>
        <v>179.25821905747054</v>
      </c>
      <c r="G73" s="62">
        <f t="shared" si="39"/>
        <v>191.80629439149348</v>
      </c>
      <c r="H73" s="62">
        <f t="shared" si="39"/>
        <v>203.31467205498308</v>
      </c>
      <c r="I73" s="62">
        <f t="shared" si="39"/>
        <v>213.48040565773226</v>
      </c>
      <c r="J73" s="62">
        <f t="shared" si="39"/>
        <v>222.01962188404161</v>
      </c>
    </row>
    <row r="74" spans="2:10" x14ac:dyDescent="0.55000000000000004">
      <c r="B74" s="11" t="s">
        <v>276</v>
      </c>
      <c r="D74" s="62">
        <f t="shared" ref="D74:J74" si="40">D67</f>
        <v>21.811199999999999</v>
      </c>
      <c r="E74" s="62">
        <f t="shared" si="40"/>
        <v>32.953704000000002</v>
      </c>
      <c r="F74" s="62">
        <f t="shared" si="40"/>
        <v>35.260463280000003</v>
      </c>
      <c r="G74" s="62">
        <f t="shared" si="40"/>
        <v>37.376091076800002</v>
      </c>
      <c r="H74" s="62">
        <f t="shared" si="40"/>
        <v>39.244895630640009</v>
      </c>
      <c r="I74" s="62">
        <f t="shared" si="40"/>
        <v>39.244895630640009</v>
      </c>
      <c r="J74" s="62">
        <f t="shared" si="40"/>
        <v>39.244895630640009</v>
      </c>
    </row>
    <row r="75" spans="2:10" x14ac:dyDescent="0.55000000000000004">
      <c r="B75" s="11" t="s">
        <v>147</v>
      </c>
      <c r="D75" s="62">
        <f t="shared" ref="D75:J75" si="41">-D66</f>
        <v>-27.263999999999999</v>
      </c>
      <c r="E75" s="62">
        <f t="shared" si="41"/>
        <v>-41.192129999999999</v>
      </c>
      <c r="F75" s="62">
        <f t="shared" si="41"/>
        <v>-44.075579099999999</v>
      </c>
      <c r="G75" s="62">
        <f t="shared" si="41"/>
        <v>-46.720113846000004</v>
      </c>
      <c r="H75" s="62">
        <f t="shared" si="41"/>
        <v>-49.05611953830001</v>
      </c>
      <c r="I75" s="62">
        <f t="shared" si="41"/>
        <v>-49.05611953830001</v>
      </c>
      <c r="J75" s="62">
        <f t="shared" si="41"/>
        <v>-49.05611953830001</v>
      </c>
    </row>
    <row r="76" spans="2:10" x14ac:dyDescent="0.55000000000000004">
      <c r="B76" s="11" t="s">
        <v>280</v>
      </c>
      <c r="D76" s="62"/>
      <c r="E76" s="62"/>
      <c r="F76" s="62"/>
      <c r="G76" s="62"/>
      <c r="H76" s="62"/>
      <c r="I76" s="62"/>
      <c r="J76" s="62"/>
    </row>
    <row r="77" spans="2:10" x14ac:dyDescent="0.55000000000000004">
      <c r="B77" s="11" t="s">
        <v>281</v>
      </c>
      <c r="D77" s="62">
        <f>C49-D49</f>
        <v>11.179509881062963</v>
      </c>
      <c r="E77" s="62">
        <f t="shared" ref="E77:J79" si="42">D49-E49</f>
        <v>-3.4223033349725895</v>
      </c>
      <c r="F77" s="62">
        <f t="shared" si="42"/>
        <v>-2.5355462543030356</v>
      </c>
      <c r="G77" s="62">
        <f t="shared" si="42"/>
        <v>-2.4188737795748878</v>
      </c>
      <c r="H77" s="62">
        <f t="shared" si="42"/>
        <v>-2.2184528092672551</v>
      </c>
      <c r="I77" s="62">
        <f t="shared" si="42"/>
        <v>-1.9596333148527449</v>
      </c>
      <c r="J77" s="62">
        <f t="shared" si="42"/>
        <v>-1.6460919844763069</v>
      </c>
    </row>
    <row r="78" spans="2:10" x14ac:dyDescent="0.55000000000000004">
      <c r="B78" s="11" t="s">
        <v>282</v>
      </c>
      <c r="D78" s="62">
        <f>C50-D50</f>
        <v>-0.23055224435152422</v>
      </c>
      <c r="E78" s="62">
        <f t="shared" si="42"/>
        <v>-0.45067881504372931</v>
      </c>
      <c r="F78" s="62">
        <f t="shared" si="42"/>
        <v>-0.22485872368909998</v>
      </c>
      <c r="G78" s="62">
        <f t="shared" si="42"/>
        <v>-0.46368628481590513</v>
      </c>
      <c r="H78" s="62">
        <f t="shared" si="42"/>
        <v>-0.42526656407401564</v>
      </c>
      <c r="I78" s="62">
        <f t="shared" si="42"/>
        <v>-0.3756521315987138</v>
      </c>
      <c r="J78" s="62">
        <f t="shared" si="42"/>
        <v>-0.31554779054292137</v>
      </c>
    </row>
    <row r="79" spans="2:10" x14ac:dyDescent="0.55000000000000004">
      <c r="B79" s="11" t="s">
        <v>283</v>
      </c>
      <c r="D79" s="62">
        <f>C51-D51</f>
        <v>-10.049119447024751</v>
      </c>
      <c r="E79" s="62">
        <f t="shared" si="42"/>
        <v>-6.9186999617507183</v>
      </c>
      <c r="F79" s="62">
        <f t="shared" si="42"/>
        <v>-5.125987399595644</v>
      </c>
      <c r="G79" s="62">
        <f t="shared" si="42"/>
        <v>-4.8901164765859875</v>
      </c>
      <c r="H79" s="62">
        <f t="shared" si="42"/>
        <v>-4.4849353970974306</v>
      </c>
      <c r="I79" s="62">
        <f t="shared" si="42"/>
        <v>-3.9616929341027287</v>
      </c>
      <c r="J79" s="62">
        <f t="shared" si="42"/>
        <v>-3.3278220646462984</v>
      </c>
    </row>
    <row r="80" spans="2:10" x14ac:dyDescent="0.55000000000000004">
      <c r="B80" s="11" t="s">
        <v>284</v>
      </c>
      <c r="D80" s="62">
        <f>D56-C56</f>
        <v>-7.9048249871726028</v>
      </c>
      <c r="E80" s="62">
        <f t="shared" ref="E80:J81" si="43">E56-D56</f>
        <v>4.6938958781309026</v>
      </c>
      <c r="F80" s="62">
        <f t="shared" si="43"/>
        <v>2.3419415358665816</v>
      </c>
      <c r="G80" s="62">
        <f t="shared" si="43"/>
        <v>4.8293708698777351</v>
      </c>
      <c r="H80" s="62">
        <f t="shared" si="43"/>
        <v>4.4292229978021709</v>
      </c>
      <c r="I80" s="62">
        <f t="shared" si="43"/>
        <v>3.9124803147252294</v>
      </c>
      <c r="J80" s="62">
        <f t="shared" si="43"/>
        <v>3.2864834643692262</v>
      </c>
    </row>
    <row r="81" spans="2:10" x14ac:dyDescent="0.55000000000000004">
      <c r="B81" s="44" t="s">
        <v>285</v>
      </c>
      <c r="C81" s="21"/>
      <c r="D81" s="63">
        <f>D57-C57</f>
        <v>-3.1878171491929095</v>
      </c>
      <c r="E81" s="63">
        <f t="shared" si="43"/>
        <v>5.474177273987209</v>
      </c>
      <c r="F81" s="63">
        <f t="shared" si="43"/>
        <v>2.7312500033026907</v>
      </c>
      <c r="G81" s="63">
        <f t="shared" si="43"/>
        <v>5.6321727089667917</v>
      </c>
      <c r="H81" s="63">
        <f t="shared" si="43"/>
        <v>5.1655069702238308</v>
      </c>
      <c r="I81" s="63">
        <f t="shared" si="43"/>
        <v>4.5628644903643902</v>
      </c>
      <c r="J81" s="63">
        <f t="shared" si="43"/>
        <v>3.8328061719060855</v>
      </c>
    </row>
    <row r="82" spans="2:10" ht="14.1" x14ac:dyDescent="0.55000000000000004">
      <c r="B82" s="12" t="s">
        <v>286</v>
      </c>
      <c r="C82" s="16"/>
      <c r="D82" s="64">
        <f t="shared" ref="D82:I82" si="44">SUM(D73:D81)</f>
        <v>117.12185755019378</v>
      </c>
      <c r="E82" s="64">
        <f t="shared" si="44"/>
        <v>148.51838221697267</v>
      </c>
      <c r="F82" s="64">
        <f t="shared" si="44"/>
        <v>167.62990239905207</v>
      </c>
      <c r="G82" s="64">
        <f t="shared" si="44"/>
        <v>185.15113866016122</v>
      </c>
      <c r="H82" s="64">
        <f t="shared" si="44"/>
        <v>195.96952334491039</v>
      </c>
      <c r="I82" s="64">
        <f t="shared" si="44"/>
        <v>205.84754817460771</v>
      </c>
      <c r="J82" s="64">
        <f t="shared" ref="J82" si="45">SUM(J73:J81)</f>
        <v>214.03822577299144</v>
      </c>
    </row>
    <row r="83" spans="2:10" ht="14.1" x14ac:dyDescent="0.55000000000000004">
      <c r="B83" s="44" t="s">
        <v>287</v>
      </c>
      <c r="C83" s="20"/>
      <c r="D83" s="68"/>
      <c r="E83" s="68"/>
      <c r="F83" s="68"/>
      <c r="G83" s="69"/>
      <c r="H83" s="69"/>
      <c r="I83" s="70"/>
      <c r="J83" s="70">
        <f>J82*(1+C30)/('cost of capital'!C22-'Valuation - base'!C30)</f>
        <v>4825.8264606262092</v>
      </c>
    </row>
    <row r="84" spans="2:10" ht="14.1" x14ac:dyDescent="0.55000000000000004">
      <c r="B84" s="12" t="s">
        <v>288</v>
      </c>
      <c r="C84" s="16"/>
      <c r="D84" s="64">
        <f t="shared" ref="D84:J84" si="46">SUM(D82:D83)</f>
        <v>117.12185755019378</v>
      </c>
      <c r="E84" s="64">
        <f t="shared" si="46"/>
        <v>148.51838221697267</v>
      </c>
      <c r="F84" s="64">
        <f t="shared" si="46"/>
        <v>167.62990239905207</v>
      </c>
      <c r="G84" s="64">
        <f t="shared" si="46"/>
        <v>185.15113866016122</v>
      </c>
      <c r="H84" s="64">
        <f t="shared" si="46"/>
        <v>195.96952334491039</v>
      </c>
      <c r="I84" s="71">
        <f t="shared" si="46"/>
        <v>205.84754817460771</v>
      </c>
      <c r="J84" s="71">
        <f t="shared" si="46"/>
        <v>5039.8646863992008</v>
      </c>
    </row>
    <row r="85" spans="2:10" ht="14.4" thickBot="1" x14ac:dyDescent="0.6">
      <c r="B85" s="12"/>
      <c r="C85" s="16"/>
      <c r="D85" s="64"/>
      <c r="E85" s="64"/>
      <c r="F85" s="64"/>
      <c r="G85" s="64"/>
      <c r="H85" s="64"/>
      <c r="I85" s="64"/>
      <c r="J85" s="64"/>
    </row>
    <row r="86" spans="2:10" ht="14.1" x14ac:dyDescent="0.55000000000000004">
      <c r="B86" s="72" t="s">
        <v>289</v>
      </c>
      <c r="C86" s="73">
        <f>NPV('cost of capital'!C22,D84:J84)</f>
        <v>3689.2508718286767</v>
      </c>
      <c r="D86" s="16"/>
      <c r="E86" s="16"/>
      <c r="F86" s="16"/>
      <c r="G86" s="16"/>
      <c r="H86" s="16"/>
      <c r="I86" s="16"/>
      <c r="J86" s="16"/>
    </row>
    <row r="87" spans="2:10" x14ac:dyDescent="0.55000000000000004">
      <c r="B87" s="74" t="s">
        <v>290</v>
      </c>
      <c r="C87" s="75">
        <f>C47+C48</f>
        <v>132.42000000000002</v>
      </c>
    </row>
    <row r="88" spans="2:10" x14ac:dyDescent="0.55000000000000004">
      <c r="B88" s="76" t="s">
        <v>291</v>
      </c>
      <c r="C88" s="77">
        <f>-(C59+C58)</f>
        <v>-98.657000000000011</v>
      </c>
    </row>
    <row r="89" spans="2:10" ht="14.1" x14ac:dyDescent="0.55000000000000004">
      <c r="B89" s="78" t="s">
        <v>292</v>
      </c>
      <c r="C89" s="79">
        <f>SUM(C86:C88)</f>
        <v>3723.0138718286767</v>
      </c>
      <c r="E89" s="10" t="s">
        <v>293</v>
      </c>
    </row>
    <row r="90" spans="2:10" x14ac:dyDescent="0.55000000000000004">
      <c r="B90" s="74" t="s">
        <v>294</v>
      </c>
      <c r="C90" s="80">
        <f>'cost of capital'!C12</f>
        <v>14.8</v>
      </c>
    </row>
    <row r="91" spans="2:10" ht="14.4" thickBot="1" x14ac:dyDescent="0.6">
      <c r="B91" s="81" t="s">
        <v>217</v>
      </c>
      <c r="C91" s="82">
        <f>C89/C90</f>
        <v>251.55499133977543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37"/>
  <sheetViews>
    <sheetView workbookViewId="0"/>
  </sheetViews>
  <sheetFormatPr defaultColWidth="9.1015625" defaultRowHeight="13.8" x14ac:dyDescent="0.55000000000000004"/>
  <cols>
    <col min="1" max="1" width="4.83984375" style="10" customWidth="1"/>
    <col min="2" max="2" width="39.1015625" style="10" customWidth="1"/>
    <col min="3" max="5" width="25.68359375" style="10" customWidth="1"/>
    <col min="6" max="6" width="4.41796875" style="10" customWidth="1"/>
    <col min="7" max="7" width="38.15625" style="10" customWidth="1"/>
    <col min="8" max="10" width="25.68359375" style="10" customWidth="1"/>
    <col min="11" max="16384" width="9.1015625" style="10"/>
  </cols>
  <sheetData>
    <row r="2" spans="2:10" ht="14.1" x14ac:dyDescent="0.55000000000000004">
      <c r="B2" s="18" t="s">
        <v>360</v>
      </c>
      <c r="C2" s="50"/>
    </row>
    <row r="4" spans="2:10" ht="14.1" x14ac:dyDescent="0.55000000000000004">
      <c r="B4" s="20" t="s">
        <v>256</v>
      </c>
      <c r="C4" s="20" t="s">
        <v>351</v>
      </c>
      <c r="D4" s="20" t="s">
        <v>350</v>
      </c>
      <c r="E4" s="20" t="s">
        <v>312</v>
      </c>
      <c r="F4" s="20"/>
      <c r="G4" s="20" t="s">
        <v>313</v>
      </c>
      <c r="H4" s="20"/>
      <c r="I4" s="20"/>
      <c r="J4" s="20"/>
    </row>
    <row r="5" spans="2:10" x14ac:dyDescent="0.55000000000000004">
      <c r="B5" s="11" t="s">
        <v>11</v>
      </c>
      <c r="C5" s="11">
        <v>430.05</v>
      </c>
      <c r="D5" s="11">
        <v>416.161</v>
      </c>
      <c r="E5" s="51">
        <f>D5-C5</f>
        <v>-13.88900000000001</v>
      </c>
      <c r="G5" s="10" t="s">
        <v>346</v>
      </c>
    </row>
    <row r="6" spans="2:10" x14ac:dyDescent="0.55000000000000004">
      <c r="B6" s="11" t="s">
        <v>12</v>
      </c>
      <c r="C6" s="11">
        <v>-223.626</v>
      </c>
      <c r="D6" s="11">
        <v>-220.96</v>
      </c>
      <c r="E6" s="51">
        <f t="shared" ref="E6:E9" si="0">D6-C6</f>
        <v>2.6659999999999968</v>
      </c>
      <c r="G6" s="10" t="s">
        <v>352</v>
      </c>
    </row>
    <row r="7" spans="2:10" x14ac:dyDescent="0.55000000000000004">
      <c r="B7" s="11" t="s">
        <v>13</v>
      </c>
      <c r="C7" s="11">
        <v>206.42400000000001</v>
      </c>
      <c r="D7" s="51">
        <v>195.20099999999999</v>
      </c>
      <c r="E7" s="51">
        <f t="shared" si="0"/>
        <v>-11.223000000000013</v>
      </c>
      <c r="G7" s="10" t="s">
        <v>353</v>
      </c>
    </row>
    <row r="8" spans="2:10" x14ac:dyDescent="0.55000000000000004">
      <c r="B8" s="44" t="s">
        <v>14</v>
      </c>
      <c r="C8" s="44">
        <v>-55.906500000000001</v>
      </c>
      <c r="D8" s="44">
        <v>-62.1</v>
      </c>
      <c r="E8" s="52">
        <f t="shared" si="0"/>
        <v>-6.1935000000000002</v>
      </c>
      <c r="G8" s="10" t="s">
        <v>354</v>
      </c>
    </row>
    <row r="9" spans="2:10" ht="14.1" x14ac:dyDescent="0.55000000000000004">
      <c r="B9" s="12" t="s">
        <v>17</v>
      </c>
      <c r="C9" s="12">
        <v>150.51750000000001</v>
      </c>
      <c r="D9" s="53">
        <v>133.101</v>
      </c>
      <c r="E9" s="51">
        <f t="shared" si="0"/>
        <v>-17.416500000000013</v>
      </c>
    </row>
    <row r="10" spans="2:10" x14ac:dyDescent="0.55000000000000004">
      <c r="B10" s="11" t="s">
        <v>234</v>
      </c>
      <c r="C10" s="11"/>
      <c r="D10" s="51"/>
      <c r="E10" s="51"/>
    </row>
    <row r="11" spans="2:10" x14ac:dyDescent="0.55000000000000004">
      <c r="B11" s="11" t="s">
        <v>143</v>
      </c>
      <c r="C11" s="11"/>
      <c r="D11" s="51"/>
      <c r="E11" s="51"/>
    </row>
    <row r="12" spans="2:10" x14ac:dyDescent="0.55000000000000004">
      <c r="B12" s="11" t="s">
        <v>19</v>
      </c>
      <c r="C12" s="11">
        <v>148.97750000000002</v>
      </c>
      <c r="D12" s="51">
        <v>132.72900000000001</v>
      </c>
      <c r="E12" s="51">
        <f t="shared" ref="E12:E14" si="1">D12-C12</f>
        <v>-16.248500000000007</v>
      </c>
    </row>
    <row r="13" spans="2:10" x14ac:dyDescent="0.55000000000000004">
      <c r="B13" s="44" t="s">
        <v>20</v>
      </c>
      <c r="C13" s="44">
        <v>-29.795500000000004</v>
      </c>
      <c r="D13" s="44">
        <v>-20.719000000000001</v>
      </c>
      <c r="E13" s="52">
        <f t="shared" si="1"/>
        <v>9.0765000000000029</v>
      </c>
    </row>
    <row r="14" spans="2:10" ht="14.1" x14ac:dyDescent="0.55000000000000004">
      <c r="B14" s="12" t="s">
        <v>21</v>
      </c>
      <c r="C14" s="12">
        <v>119.18200000000002</v>
      </c>
      <c r="D14" s="53">
        <v>112.01000000000002</v>
      </c>
      <c r="E14" s="51">
        <f t="shared" si="1"/>
        <v>-7.171999999999997</v>
      </c>
    </row>
    <row r="15" spans="2:10" x14ac:dyDescent="0.55000000000000004">
      <c r="B15" s="11"/>
      <c r="C15" s="11"/>
      <c r="D15" s="51"/>
      <c r="E15" s="51"/>
    </row>
    <row r="16" spans="2:10" ht="14.1" x14ac:dyDescent="0.55000000000000004">
      <c r="B16" s="27" t="s">
        <v>258</v>
      </c>
      <c r="C16" s="20" t="str">
        <f>C4</f>
        <v>Forecast - April 2025</v>
      </c>
      <c r="D16" s="54" t="str">
        <f>D4</f>
        <v>Actuals - September 2025</v>
      </c>
      <c r="E16" s="20" t="s">
        <v>312</v>
      </c>
    </row>
    <row r="17" spans="2:7" x14ac:dyDescent="0.55000000000000004">
      <c r="B17" s="11" t="s">
        <v>259</v>
      </c>
      <c r="C17" s="11">
        <v>30</v>
      </c>
      <c r="D17" s="51">
        <v>35.933999999999997</v>
      </c>
      <c r="E17" s="11">
        <f t="shared" ref="E17:E24" si="2">D17-C17</f>
        <v>5.9339999999999975</v>
      </c>
      <c r="G17" s="10" t="s">
        <v>355</v>
      </c>
    </row>
    <row r="18" spans="2:7" x14ac:dyDescent="0.55000000000000004">
      <c r="B18" s="11" t="s">
        <v>260</v>
      </c>
      <c r="C18" s="11">
        <v>103.3305983002715</v>
      </c>
      <c r="D18" s="51">
        <v>96.486000000000004</v>
      </c>
      <c r="E18" s="11">
        <f t="shared" si="2"/>
        <v>-6.8445983002714996</v>
      </c>
      <c r="G18" s="10" t="s">
        <v>356</v>
      </c>
    </row>
    <row r="19" spans="2:7" x14ac:dyDescent="0.55000000000000004">
      <c r="B19" s="11" t="s">
        <v>262</v>
      </c>
      <c r="C19" s="11">
        <v>25.253286705644506</v>
      </c>
      <c r="D19" s="51">
        <v>39.777000000000001</v>
      </c>
      <c r="E19" s="11">
        <f t="shared" si="2"/>
        <v>14.523713294355495</v>
      </c>
      <c r="G19" s="10" t="s">
        <v>359</v>
      </c>
    </row>
    <row r="20" spans="2:7" x14ac:dyDescent="0.55000000000000004">
      <c r="B20" s="11" t="s">
        <v>263</v>
      </c>
      <c r="C20" s="11">
        <v>5.3559244038948099</v>
      </c>
      <c r="D20" s="51">
        <v>5.718</v>
      </c>
      <c r="E20" s="11">
        <f t="shared" si="2"/>
        <v>0.36207559610519002</v>
      </c>
    </row>
    <row r="21" spans="2:7" x14ac:dyDescent="0.55000000000000004">
      <c r="B21" s="11" t="s">
        <v>264</v>
      </c>
      <c r="C21" s="11">
        <v>51.053310201628328</v>
      </c>
      <c r="D21" s="51">
        <v>47.765000000000001</v>
      </c>
      <c r="E21" s="11">
        <f t="shared" si="2"/>
        <v>-3.2883102016283274</v>
      </c>
    </row>
    <row r="22" spans="2:7" x14ac:dyDescent="0.55000000000000004">
      <c r="B22" s="11" t="s">
        <v>265</v>
      </c>
      <c r="C22" s="11">
        <v>48.850155999999998</v>
      </c>
      <c r="D22" s="51">
        <v>49.834000000000003</v>
      </c>
      <c r="E22" s="11">
        <f t="shared" si="2"/>
        <v>0.98384400000000483</v>
      </c>
    </row>
    <row r="23" spans="2:7" x14ac:dyDescent="0.55000000000000004">
      <c r="B23" s="11" t="s">
        <v>347</v>
      </c>
      <c r="C23" s="11">
        <v>75</v>
      </c>
      <c r="D23" s="51">
        <v>83.727000000000004</v>
      </c>
      <c r="E23" s="52">
        <f t="shared" si="2"/>
        <v>8.7270000000000039</v>
      </c>
    </row>
    <row r="24" spans="2:7" ht="14.1" x14ac:dyDescent="0.55000000000000004">
      <c r="B24" s="47" t="s">
        <v>23</v>
      </c>
      <c r="C24" s="47">
        <v>338.84327561143914</v>
      </c>
      <c r="D24" s="55">
        <v>359.24099999999999</v>
      </c>
      <c r="E24" s="53">
        <f t="shared" si="2"/>
        <v>20.397724388560846</v>
      </c>
    </row>
    <row r="25" spans="2:7" ht="14.1" x14ac:dyDescent="0.55000000000000004">
      <c r="B25" s="12"/>
      <c r="C25" s="12"/>
      <c r="D25" s="51"/>
      <c r="E25" s="51"/>
    </row>
    <row r="26" spans="2:7" x14ac:dyDescent="0.55000000000000004">
      <c r="B26" s="11" t="s">
        <v>112</v>
      </c>
      <c r="C26" s="11">
        <v>55.782856091390023</v>
      </c>
      <c r="D26" s="51">
        <v>69.86</v>
      </c>
      <c r="E26" s="11">
        <f t="shared" ref="E26:E33" si="3">D26-C26</f>
        <v>14.077143908609976</v>
      </c>
      <c r="G26" s="10" t="s">
        <v>357</v>
      </c>
    </row>
    <row r="27" spans="2:7" x14ac:dyDescent="0.55000000000000004">
      <c r="B27" s="11" t="s">
        <v>268</v>
      </c>
      <c r="C27" s="11">
        <v>65.05581952004907</v>
      </c>
      <c r="D27" s="51">
        <v>75.442000000000007</v>
      </c>
      <c r="E27" s="11">
        <f t="shared" si="3"/>
        <v>10.386180479950937</v>
      </c>
    </row>
    <row r="28" spans="2:7" x14ac:dyDescent="0.55000000000000004">
      <c r="B28" s="11" t="s">
        <v>140</v>
      </c>
      <c r="C28" s="11">
        <v>21</v>
      </c>
      <c r="D28" s="51">
        <v>20.329000000000001</v>
      </c>
      <c r="E28" s="11">
        <f t="shared" si="3"/>
        <v>-0.67099999999999937</v>
      </c>
    </row>
    <row r="29" spans="2:7" x14ac:dyDescent="0.55000000000000004">
      <c r="B29" s="11" t="s">
        <v>269</v>
      </c>
      <c r="C29" s="11">
        <v>86</v>
      </c>
      <c r="D29" s="51">
        <v>78.328000000000003</v>
      </c>
      <c r="E29" s="11">
        <f t="shared" si="3"/>
        <v>-7.671999999999997</v>
      </c>
    </row>
    <row r="30" spans="2:7" x14ac:dyDescent="0.55000000000000004">
      <c r="B30" s="11" t="s">
        <v>270</v>
      </c>
      <c r="C30" s="11">
        <v>54</v>
      </c>
      <c r="D30" s="51">
        <v>41.548999999999999</v>
      </c>
      <c r="E30" s="11">
        <f t="shared" si="3"/>
        <v>-12.451000000000001</v>
      </c>
    </row>
    <row r="31" spans="2:7" x14ac:dyDescent="0.55000000000000004">
      <c r="B31" s="11" t="s">
        <v>271</v>
      </c>
      <c r="C31" s="11">
        <v>281.8386756114391</v>
      </c>
      <c r="D31" s="51">
        <v>285.50800000000004</v>
      </c>
      <c r="E31" s="51">
        <f t="shared" si="3"/>
        <v>3.6693243885609377</v>
      </c>
    </row>
    <row r="32" spans="2:7" x14ac:dyDescent="0.55000000000000004">
      <c r="B32" s="11" t="s">
        <v>272</v>
      </c>
      <c r="C32" s="11">
        <v>57.004600000000011</v>
      </c>
      <c r="D32" s="51">
        <v>73.733000000000004</v>
      </c>
      <c r="E32" s="52">
        <f t="shared" si="3"/>
        <v>16.728399999999993</v>
      </c>
      <c r="G32" s="10" t="s">
        <v>358</v>
      </c>
    </row>
    <row r="33" spans="2:5" ht="14.1" x14ac:dyDescent="0.55000000000000004">
      <c r="B33" s="47" t="s">
        <v>274</v>
      </c>
      <c r="C33" s="47">
        <v>338.84327561143914</v>
      </c>
      <c r="D33" s="55">
        <v>359.24100000000004</v>
      </c>
      <c r="E33" s="53">
        <f t="shared" si="3"/>
        <v>20.397724388560903</v>
      </c>
    </row>
    <row r="34" spans="2:5" x14ac:dyDescent="0.55000000000000004">
      <c r="D34" s="51"/>
      <c r="E34" s="51"/>
    </row>
    <row r="35" spans="2:5" ht="14.1" x14ac:dyDescent="0.55000000000000004">
      <c r="B35" s="27" t="s">
        <v>275</v>
      </c>
      <c r="C35" s="27"/>
      <c r="D35" s="54"/>
      <c r="E35" s="52"/>
    </row>
    <row r="36" spans="2:5" x14ac:dyDescent="0.55000000000000004">
      <c r="B36" s="11" t="s">
        <v>144</v>
      </c>
      <c r="C36" s="11">
        <v>15.540000000000001</v>
      </c>
      <c r="D36" s="56">
        <v>15</v>
      </c>
      <c r="E36" s="11">
        <f t="shared" ref="E36:E37" si="4">D36-C36</f>
        <v>-0.54000000000000092</v>
      </c>
    </row>
    <row r="37" spans="2:5" x14ac:dyDescent="0.55000000000000004">
      <c r="B37" s="11" t="s">
        <v>277</v>
      </c>
      <c r="C37" s="11">
        <v>103</v>
      </c>
      <c r="D37" s="56">
        <v>91</v>
      </c>
      <c r="E37" s="11">
        <f t="shared" si="4"/>
        <v>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7"/>
  <sheetViews>
    <sheetView zoomScaleNormal="100" workbookViewId="0"/>
  </sheetViews>
  <sheetFormatPr defaultColWidth="9.1015625" defaultRowHeight="13.8" x14ac:dyDescent="0.55000000000000004"/>
  <cols>
    <col min="1" max="1" width="5.41796875" style="10" customWidth="1"/>
    <col min="2" max="2" width="27.1015625" style="10" customWidth="1"/>
    <col min="3" max="10" width="12.68359375" style="10" customWidth="1"/>
    <col min="11" max="16384" width="9.1015625" style="10"/>
  </cols>
  <sheetData>
    <row r="2" spans="2:12" ht="14.1" x14ac:dyDescent="0.55000000000000004">
      <c r="B2" s="18" t="s">
        <v>361</v>
      </c>
    </row>
    <row r="3" spans="2:12" ht="14.1" x14ac:dyDescent="0.55000000000000004">
      <c r="B3" s="50"/>
    </row>
    <row r="4" spans="2:12" ht="14.1" x14ac:dyDescent="0.55000000000000004">
      <c r="C4" s="57" t="s">
        <v>255</v>
      </c>
      <c r="D4" s="57" t="s">
        <v>295</v>
      </c>
      <c r="E4" s="57" t="s">
        <v>295</v>
      </c>
      <c r="F4" s="57" t="s">
        <v>295</v>
      </c>
      <c r="G4" s="57" t="s">
        <v>295</v>
      </c>
      <c r="H4" s="57" t="s">
        <v>295</v>
      </c>
      <c r="I4" s="57" t="s">
        <v>295</v>
      </c>
      <c r="J4" s="57" t="s">
        <v>295</v>
      </c>
    </row>
    <row r="5" spans="2:12" ht="14.1" x14ac:dyDescent="0.55000000000000004">
      <c r="B5" s="20" t="s">
        <v>296</v>
      </c>
      <c r="C5" s="20">
        <v>2025</v>
      </c>
      <c r="D5" s="20">
        <v>2026</v>
      </c>
      <c r="E5" s="20">
        <v>2027</v>
      </c>
      <c r="F5" s="20">
        <v>2028</v>
      </c>
      <c r="G5" s="20">
        <v>2029</v>
      </c>
      <c r="H5" s="20">
        <v>2030</v>
      </c>
      <c r="I5" s="20">
        <v>2031</v>
      </c>
      <c r="J5" s="20">
        <v>2032</v>
      </c>
    </row>
    <row r="6" spans="2:12" x14ac:dyDescent="0.55000000000000004">
      <c r="B6" s="10" t="s">
        <v>297</v>
      </c>
      <c r="D6" s="10">
        <v>260</v>
      </c>
      <c r="E6" s="10">
        <v>270</v>
      </c>
      <c r="F6" s="10">
        <v>270</v>
      </c>
      <c r="L6" s="10" t="s">
        <v>337</v>
      </c>
    </row>
    <row r="7" spans="2:12" x14ac:dyDescent="0.55000000000000004">
      <c r="B7" s="10" t="s">
        <v>298</v>
      </c>
      <c r="D7" s="10">
        <v>70</v>
      </c>
      <c r="E7" s="10">
        <v>60</v>
      </c>
      <c r="F7" s="10">
        <v>60</v>
      </c>
      <c r="L7" s="10" t="s">
        <v>337</v>
      </c>
    </row>
    <row r="9" spans="2:12" ht="14.1" x14ac:dyDescent="0.55000000000000004">
      <c r="B9" s="20" t="s">
        <v>299</v>
      </c>
      <c r="C9" s="20">
        <f t="shared" ref="C9:J9" si="0">C5</f>
        <v>2025</v>
      </c>
      <c r="D9" s="20">
        <f t="shared" si="0"/>
        <v>2026</v>
      </c>
      <c r="E9" s="20">
        <f t="shared" si="0"/>
        <v>2027</v>
      </c>
      <c r="F9" s="20">
        <f t="shared" si="0"/>
        <v>2028</v>
      </c>
      <c r="G9" s="20">
        <f t="shared" si="0"/>
        <v>2029</v>
      </c>
      <c r="H9" s="20">
        <f t="shared" si="0"/>
        <v>2030</v>
      </c>
      <c r="I9" s="20">
        <f t="shared" si="0"/>
        <v>2031</v>
      </c>
      <c r="J9" s="20">
        <f t="shared" si="0"/>
        <v>2032</v>
      </c>
    </row>
    <row r="10" spans="2:12" x14ac:dyDescent="0.55000000000000004">
      <c r="B10" s="10" t="s">
        <v>300</v>
      </c>
      <c r="D10" s="10">
        <v>950</v>
      </c>
      <c r="E10" s="10">
        <v>1050</v>
      </c>
      <c r="F10" s="10">
        <v>1100</v>
      </c>
      <c r="L10" s="10" t="s">
        <v>337</v>
      </c>
    </row>
    <row r="11" spans="2:12" x14ac:dyDescent="0.55000000000000004">
      <c r="B11" s="10" t="s">
        <v>301</v>
      </c>
      <c r="D11" s="10">
        <v>480</v>
      </c>
      <c r="E11" s="10">
        <v>470</v>
      </c>
      <c r="F11" s="10">
        <v>450</v>
      </c>
      <c r="L11" s="10" t="s">
        <v>337</v>
      </c>
    </row>
    <row r="13" spans="2:12" ht="14.1" x14ac:dyDescent="0.55000000000000004">
      <c r="B13" s="20" t="s">
        <v>303</v>
      </c>
      <c r="C13" s="20">
        <f>C5</f>
        <v>2025</v>
      </c>
      <c r="D13" s="20">
        <f t="shared" ref="D13:J13" si="1">D5</f>
        <v>2026</v>
      </c>
      <c r="E13" s="20">
        <f t="shared" si="1"/>
        <v>2027</v>
      </c>
      <c r="F13" s="20">
        <f t="shared" si="1"/>
        <v>2028</v>
      </c>
      <c r="G13" s="20">
        <f t="shared" si="1"/>
        <v>2029</v>
      </c>
      <c r="H13" s="20">
        <f t="shared" si="1"/>
        <v>2030</v>
      </c>
      <c r="I13" s="20">
        <f t="shared" si="1"/>
        <v>2031</v>
      </c>
      <c r="J13" s="20">
        <f t="shared" si="1"/>
        <v>2032</v>
      </c>
    </row>
    <row r="14" spans="2:12" x14ac:dyDescent="0.55000000000000004">
      <c r="B14" s="10" t="s">
        <v>362</v>
      </c>
      <c r="C14" s="22">
        <v>0.05</v>
      </c>
      <c r="D14" s="22">
        <v>0.08</v>
      </c>
      <c r="E14" s="22">
        <v>0.1</v>
      </c>
      <c r="F14" s="22">
        <v>0.1</v>
      </c>
      <c r="L14" s="10" t="s">
        <v>337</v>
      </c>
    </row>
    <row r="15" spans="2:12" x14ac:dyDescent="0.55000000000000004">
      <c r="B15" s="10" t="s">
        <v>302</v>
      </c>
      <c r="C15" s="22">
        <v>0.14000000000000001</v>
      </c>
      <c r="D15" s="22">
        <v>0.2</v>
      </c>
      <c r="E15" s="22">
        <v>0.15</v>
      </c>
      <c r="F15" s="22">
        <v>0.15</v>
      </c>
      <c r="L15" s="10" t="s">
        <v>337</v>
      </c>
    </row>
    <row r="17" spans="2:10" ht="14.1" x14ac:dyDescent="0.55000000000000004">
      <c r="B17" s="20" t="s">
        <v>304</v>
      </c>
      <c r="C17" s="20">
        <f t="shared" ref="C17:J17" si="2">C13</f>
        <v>2025</v>
      </c>
      <c r="D17" s="20">
        <f t="shared" si="2"/>
        <v>2026</v>
      </c>
      <c r="E17" s="20">
        <f t="shared" si="2"/>
        <v>2027</v>
      </c>
      <c r="F17" s="20">
        <f t="shared" si="2"/>
        <v>2028</v>
      </c>
      <c r="G17" s="20">
        <f t="shared" si="2"/>
        <v>2029</v>
      </c>
      <c r="H17" s="20">
        <f t="shared" si="2"/>
        <v>2030</v>
      </c>
      <c r="I17" s="20">
        <f t="shared" si="2"/>
        <v>2031</v>
      </c>
      <c r="J17" s="20">
        <f t="shared" si="2"/>
        <v>2032</v>
      </c>
    </row>
    <row r="18" spans="2:10" x14ac:dyDescent="0.55000000000000004">
      <c r="B18" s="10" t="s">
        <v>305</v>
      </c>
      <c r="C18" s="29">
        <v>209</v>
      </c>
      <c r="D18" s="29">
        <f t="shared" ref="D18:F19" si="3">D6*D10/1000</f>
        <v>247</v>
      </c>
      <c r="E18" s="29">
        <f t="shared" si="3"/>
        <v>283.5</v>
      </c>
      <c r="F18" s="29">
        <f t="shared" si="3"/>
        <v>297</v>
      </c>
      <c r="G18" s="29"/>
      <c r="H18" s="29"/>
      <c r="I18" s="29"/>
      <c r="J18" s="29"/>
    </row>
    <row r="19" spans="2:10" x14ac:dyDescent="0.55000000000000004">
      <c r="B19" s="10" t="s">
        <v>306</v>
      </c>
      <c r="C19" s="29">
        <v>28</v>
      </c>
      <c r="D19" s="29">
        <f t="shared" si="3"/>
        <v>33.6</v>
      </c>
      <c r="E19" s="29">
        <f t="shared" si="3"/>
        <v>28.2</v>
      </c>
      <c r="F19" s="29">
        <f t="shared" si="3"/>
        <v>27</v>
      </c>
      <c r="G19" s="29"/>
      <c r="H19" s="29"/>
      <c r="I19" s="29"/>
      <c r="J19" s="29"/>
    </row>
    <row r="20" spans="2:10" x14ac:dyDescent="0.55000000000000004">
      <c r="B20" s="10" t="s">
        <v>307</v>
      </c>
      <c r="C20" s="29">
        <v>70</v>
      </c>
      <c r="D20" s="29">
        <f t="shared" ref="D20:F21" si="4">C20*(1+D14)</f>
        <v>75.600000000000009</v>
      </c>
      <c r="E20" s="29">
        <f t="shared" si="4"/>
        <v>83.160000000000011</v>
      </c>
      <c r="F20" s="29">
        <f t="shared" si="4"/>
        <v>91.476000000000013</v>
      </c>
      <c r="G20" s="29"/>
      <c r="H20" s="29"/>
      <c r="I20" s="29"/>
      <c r="J20" s="29"/>
    </row>
    <row r="21" spans="2:10" x14ac:dyDescent="0.55000000000000004">
      <c r="B21" s="10" t="s">
        <v>302</v>
      </c>
      <c r="C21" s="29">
        <v>109</v>
      </c>
      <c r="D21" s="29">
        <f t="shared" si="4"/>
        <v>130.79999999999998</v>
      </c>
      <c r="E21" s="29">
        <f t="shared" si="4"/>
        <v>150.41999999999996</v>
      </c>
      <c r="F21" s="29">
        <f t="shared" si="4"/>
        <v>172.98299999999995</v>
      </c>
      <c r="G21" s="29"/>
      <c r="H21" s="29"/>
      <c r="I21" s="29"/>
      <c r="J21" s="29"/>
    </row>
    <row r="22" spans="2:10" x14ac:dyDescent="0.55000000000000004">
      <c r="B22" s="10" t="s">
        <v>308</v>
      </c>
      <c r="C22" s="29">
        <f>SUM(C18:C21)</f>
        <v>416</v>
      </c>
      <c r="D22" s="29">
        <f>SUM(D18:D21)</f>
        <v>487</v>
      </c>
      <c r="E22" s="29">
        <f t="shared" ref="E22:F22" si="5">SUM(E18:E21)</f>
        <v>545.28</v>
      </c>
      <c r="F22" s="29">
        <f t="shared" si="5"/>
        <v>588.45899999999995</v>
      </c>
      <c r="G22" s="29">
        <f t="shared" ref="G22:I22" si="6">F22*(1+G27)</f>
        <v>629.65112999999997</v>
      </c>
      <c r="H22" s="29">
        <f t="shared" si="6"/>
        <v>667.43019779999997</v>
      </c>
      <c r="I22" s="29">
        <f t="shared" si="6"/>
        <v>700.80170769000006</v>
      </c>
      <c r="J22" s="29">
        <f>I22*(1+J27)</f>
        <v>728.83377599760013</v>
      </c>
    </row>
    <row r="25" spans="2:10" ht="14.1" x14ac:dyDescent="0.55000000000000004">
      <c r="C25" s="16" t="s">
        <v>309</v>
      </c>
      <c r="D25" s="16" t="s">
        <v>309</v>
      </c>
      <c r="E25" s="16" t="s">
        <v>309</v>
      </c>
      <c r="F25" s="16" t="s">
        <v>309</v>
      </c>
      <c r="G25" s="16" t="s">
        <v>310</v>
      </c>
      <c r="H25" s="16" t="s">
        <v>310</v>
      </c>
      <c r="I25" s="16" t="s">
        <v>310</v>
      </c>
      <c r="J25" s="16" t="s">
        <v>310</v>
      </c>
    </row>
    <row r="26" spans="2:10" ht="14.1" x14ac:dyDescent="0.55000000000000004">
      <c r="B26" s="20"/>
      <c r="C26" s="20">
        <f>C17</f>
        <v>2025</v>
      </c>
      <c r="D26" s="20">
        <f t="shared" ref="D26:J26" si="7">D17</f>
        <v>2026</v>
      </c>
      <c r="E26" s="20">
        <f t="shared" si="7"/>
        <v>2027</v>
      </c>
      <c r="F26" s="20">
        <f t="shared" si="7"/>
        <v>2028</v>
      </c>
      <c r="G26" s="20">
        <f t="shared" si="7"/>
        <v>2029</v>
      </c>
      <c r="H26" s="20">
        <f t="shared" si="7"/>
        <v>2030</v>
      </c>
      <c r="I26" s="20">
        <f t="shared" si="7"/>
        <v>2031</v>
      </c>
      <c r="J26" s="20">
        <f t="shared" si="7"/>
        <v>2032</v>
      </c>
    </row>
    <row r="27" spans="2:10" ht="14.1" x14ac:dyDescent="0.55000000000000004">
      <c r="B27" s="16" t="s">
        <v>311</v>
      </c>
      <c r="C27" s="22"/>
      <c r="D27" s="22">
        <f>D22/C22-1</f>
        <v>0.17067307692307687</v>
      </c>
      <c r="E27" s="22">
        <f>E22/D22-1</f>
        <v>0.11967145790554401</v>
      </c>
      <c r="F27" s="22">
        <f>F22/E22-1</f>
        <v>7.9186839788732311E-2</v>
      </c>
      <c r="G27" s="22">
        <v>7.0000000000000007E-2</v>
      </c>
      <c r="H27" s="22">
        <v>0.06</v>
      </c>
      <c r="I27" s="22">
        <v>0.05</v>
      </c>
      <c r="J27" s="2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274C-CDCB-4AFC-A6A7-6E906DB3014C}">
  <dimension ref="B2:R91"/>
  <sheetViews>
    <sheetView workbookViewId="0"/>
  </sheetViews>
  <sheetFormatPr defaultColWidth="9.1015625" defaultRowHeight="13.8" x14ac:dyDescent="0.55000000000000004"/>
  <cols>
    <col min="1" max="1" width="4.83984375" style="10" customWidth="1"/>
    <col min="2" max="2" width="60.26171875" style="10" customWidth="1"/>
    <col min="3" max="10" width="12.68359375" style="10" customWidth="1"/>
    <col min="11" max="11" width="6.1015625" style="10" customWidth="1"/>
    <col min="12" max="16384" width="9.1015625" style="10"/>
  </cols>
  <sheetData>
    <row r="2" spans="2:18" ht="14.1" x14ac:dyDescent="0.55000000000000004">
      <c r="B2" s="18" t="s">
        <v>224</v>
      </c>
    </row>
    <row r="3" spans="2:18" ht="14.1" x14ac:dyDescent="0.55000000000000004">
      <c r="B3" s="18" t="s">
        <v>349</v>
      </c>
    </row>
    <row r="5" spans="2:18" ht="14.1" x14ac:dyDescent="0.55000000000000004">
      <c r="B5" s="16" t="s">
        <v>225</v>
      </c>
      <c r="C5" s="57" t="s">
        <v>226</v>
      </c>
      <c r="D5" s="57" t="s">
        <v>227</v>
      </c>
      <c r="E5" s="57" t="s">
        <v>227</v>
      </c>
      <c r="F5" s="57" t="s">
        <v>227</v>
      </c>
      <c r="G5" s="57" t="s">
        <v>227</v>
      </c>
      <c r="H5" s="57" t="s">
        <v>227</v>
      </c>
      <c r="I5" s="57" t="s">
        <v>227</v>
      </c>
      <c r="J5" s="57" t="s">
        <v>227</v>
      </c>
    </row>
    <row r="6" spans="2:18" ht="14.1" x14ac:dyDescent="0.55000000000000004">
      <c r="B6" s="20" t="s">
        <v>228</v>
      </c>
      <c r="C6" s="20">
        <v>2025</v>
      </c>
      <c r="D6" s="20">
        <v>2026</v>
      </c>
      <c r="E6" s="20">
        <v>2027</v>
      </c>
      <c r="F6" s="20">
        <v>2028</v>
      </c>
      <c r="G6" s="20">
        <v>2029</v>
      </c>
      <c r="H6" s="20">
        <v>2030</v>
      </c>
      <c r="I6" s="20">
        <v>2031</v>
      </c>
      <c r="J6" s="20">
        <v>2032</v>
      </c>
    </row>
    <row r="7" spans="2:18" x14ac:dyDescent="0.55000000000000004">
      <c r="B7" s="10" t="s">
        <v>116</v>
      </c>
      <c r="C7" s="96"/>
      <c r="D7" s="96">
        <f>'Revenue forecast'!D27</f>
        <v>0.17067307692307687</v>
      </c>
      <c r="E7" s="96">
        <v>0.15</v>
      </c>
      <c r="F7" s="96">
        <v>0.2</v>
      </c>
      <c r="G7" s="96">
        <v>0.15</v>
      </c>
      <c r="H7" s="96">
        <v>0.1</v>
      </c>
      <c r="I7" s="96">
        <f>'Revenue forecast'!I27</f>
        <v>0.05</v>
      </c>
      <c r="J7" s="96">
        <f>'Revenue forecast'!J27</f>
        <v>0.04</v>
      </c>
      <c r="K7" s="118"/>
      <c r="L7" s="118" t="s">
        <v>371</v>
      </c>
      <c r="M7" s="118"/>
      <c r="N7" s="118"/>
      <c r="O7" s="118"/>
      <c r="P7" s="118"/>
      <c r="Q7" s="118"/>
      <c r="R7" s="118"/>
    </row>
    <row r="8" spans="2:18" x14ac:dyDescent="0.55000000000000004">
      <c r="B8" s="10" t="s">
        <v>230</v>
      </c>
      <c r="C8" s="96">
        <f>'IS common size'!V6</f>
        <v>0.53094835892839554</v>
      </c>
      <c r="D8" s="96">
        <v>0.5</v>
      </c>
      <c r="E8" s="96">
        <v>0.48</v>
      </c>
      <c r="F8" s="96">
        <v>0.46</v>
      </c>
      <c r="G8" s="96">
        <v>0.45</v>
      </c>
      <c r="H8" s="96">
        <f t="shared" ref="H8:J8" si="0">G8</f>
        <v>0.45</v>
      </c>
      <c r="I8" s="96">
        <f t="shared" si="0"/>
        <v>0.45</v>
      </c>
      <c r="J8" s="96">
        <f t="shared" si="0"/>
        <v>0.45</v>
      </c>
      <c r="K8" s="118"/>
      <c r="L8" s="118" t="s">
        <v>372</v>
      </c>
      <c r="M8" s="118"/>
      <c r="N8" s="118"/>
      <c r="O8" s="118"/>
      <c r="P8" s="118"/>
      <c r="Q8" s="118"/>
      <c r="R8" s="118"/>
    </row>
    <row r="9" spans="2:18" x14ac:dyDescent="0.55000000000000004">
      <c r="B9" s="10" t="s">
        <v>232</v>
      </c>
      <c r="C9" s="22">
        <f>'IS common size'!V8</f>
        <v>0.14922109472055287</v>
      </c>
      <c r="D9" s="22">
        <f>C9</f>
        <v>0.14922109472055287</v>
      </c>
      <c r="E9" s="22">
        <f t="shared" ref="E9:J12" si="1">D9</f>
        <v>0.14922109472055287</v>
      </c>
      <c r="F9" s="22">
        <f t="shared" si="1"/>
        <v>0.14922109472055287</v>
      </c>
      <c r="G9" s="22">
        <f t="shared" si="1"/>
        <v>0.14922109472055287</v>
      </c>
      <c r="H9" s="22">
        <f t="shared" si="1"/>
        <v>0.14922109472055287</v>
      </c>
      <c r="I9" s="22">
        <f t="shared" si="1"/>
        <v>0.14922109472055287</v>
      </c>
      <c r="J9" s="22">
        <f t="shared" si="1"/>
        <v>0.14922109472055287</v>
      </c>
      <c r="L9" s="10" t="s">
        <v>233</v>
      </c>
    </row>
    <row r="10" spans="2:18" x14ac:dyDescent="0.55000000000000004">
      <c r="B10" s="10" t="s">
        <v>234</v>
      </c>
      <c r="C10" s="22">
        <v>0.03</v>
      </c>
      <c r="D10" s="22">
        <f t="shared" ref="D10:D12" si="2">C10</f>
        <v>0.03</v>
      </c>
      <c r="E10" s="22">
        <v>0.04</v>
      </c>
      <c r="F10" s="22">
        <f t="shared" si="1"/>
        <v>0.04</v>
      </c>
      <c r="G10" s="22">
        <f t="shared" si="1"/>
        <v>0.04</v>
      </c>
      <c r="H10" s="22">
        <f t="shared" si="1"/>
        <v>0.04</v>
      </c>
      <c r="I10" s="22">
        <f t="shared" si="1"/>
        <v>0.04</v>
      </c>
      <c r="J10" s="22">
        <f t="shared" si="1"/>
        <v>0.04</v>
      </c>
      <c r="L10" s="10" t="s">
        <v>235</v>
      </c>
    </row>
    <row r="11" spans="2:18" x14ac:dyDescent="0.55000000000000004">
      <c r="B11" s="10" t="s">
        <v>143</v>
      </c>
      <c r="C11" s="22">
        <v>0.05</v>
      </c>
      <c r="D11" s="22">
        <f t="shared" si="2"/>
        <v>0.05</v>
      </c>
      <c r="E11" s="22">
        <v>0.05</v>
      </c>
      <c r="F11" s="22">
        <f t="shared" si="1"/>
        <v>0.05</v>
      </c>
      <c r="G11" s="22">
        <f t="shared" si="1"/>
        <v>0.05</v>
      </c>
      <c r="H11" s="22">
        <f t="shared" si="1"/>
        <v>0.05</v>
      </c>
      <c r="I11" s="22">
        <f t="shared" si="1"/>
        <v>0.05</v>
      </c>
      <c r="J11" s="22">
        <f t="shared" si="1"/>
        <v>0.05</v>
      </c>
      <c r="L11" s="10" t="s">
        <v>235</v>
      </c>
    </row>
    <row r="12" spans="2:18" x14ac:dyDescent="0.55000000000000004">
      <c r="B12" s="10" t="s">
        <v>236</v>
      </c>
      <c r="C12" s="22">
        <v>0.2</v>
      </c>
      <c r="D12" s="22">
        <f t="shared" si="2"/>
        <v>0.2</v>
      </c>
      <c r="E12" s="22">
        <f t="shared" si="1"/>
        <v>0.2</v>
      </c>
      <c r="F12" s="22">
        <f t="shared" si="1"/>
        <v>0.2</v>
      </c>
      <c r="G12" s="22">
        <f t="shared" si="1"/>
        <v>0.2</v>
      </c>
      <c r="H12" s="22">
        <f t="shared" si="1"/>
        <v>0.2</v>
      </c>
      <c r="I12" s="22">
        <f t="shared" si="1"/>
        <v>0.2</v>
      </c>
      <c r="J12" s="22">
        <f t="shared" si="1"/>
        <v>0.2</v>
      </c>
      <c r="L12" s="10" t="s">
        <v>237</v>
      </c>
    </row>
    <row r="13" spans="2:18" ht="14.1" x14ac:dyDescent="0.55000000000000004">
      <c r="B13" s="20" t="s">
        <v>238</v>
      </c>
      <c r="C13" s="58"/>
      <c r="D13" s="20"/>
      <c r="E13" s="20"/>
      <c r="F13" s="20"/>
      <c r="G13" s="20"/>
      <c r="H13" s="20"/>
      <c r="I13" s="20"/>
      <c r="J13" s="20"/>
    </row>
    <row r="14" spans="2:18" x14ac:dyDescent="0.55000000000000004">
      <c r="B14" s="10" t="s">
        <v>239</v>
      </c>
      <c r="C14" s="13">
        <f>C47</f>
        <v>35.933999999999997</v>
      </c>
      <c r="D14" s="13">
        <f t="shared" ref="D14:J23" si="3">C14</f>
        <v>35.933999999999997</v>
      </c>
      <c r="E14" s="13">
        <f t="shared" si="3"/>
        <v>35.933999999999997</v>
      </c>
      <c r="F14" s="13">
        <f t="shared" si="3"/>
        <v>35.933999999999997</v>
      </c>
      <c r="G14" s="13">
        <f t="shared" si="3"/>
        <v>35.933999999999997</v>
      </c>
      <c r="H14" s="13">
        <f t="shared" si="3"/>
        <v>35.933999999999997</v>
      </c>
      <c r="I14" s="13">
        <f t="shared" si="3"/>
        <v>35.933999999999997</v>
      </c>
      <c r="J14" s="13">
        <f t="shared" si="3"/>
        <v>35.933999999999997</v>
      </c>
      <c r="L14" s="10" t="s">
        <v>233</v>
      </c>
    </row>
    <row r="15" spans="2:18" x14ac:dyDescent="0.55000000000000004">
      <c r="B15" s="10" t="s">
        <v>240</v>
      </c>
      <c r="C15" s="13">
        <f>C58</f>
        <v>20.329000000000001</v>
      </c>
      <c r="D15" s="13">
        <f t="shared" si="3"/>
        <v>20.329000000000001</v>
      </c>
      <c r="E15" s="13">
        <f t="shared" si="3"/>
        <v>20.329000000000001</v>
      </c>
      <c r="F15" s="13">
        <f t="shared" si="3"/>
        <v>20.329000000000001</v>
      </c>
      <c r="G15" s="13">
        <f t="shared" si="3"/>
        <v>20.329000000000001</v>
      </c>
      <c r="H15" s="13">
        <f t="shared" si="3"/>
        <v>20.329000000000001</v>
      </c>
      <c r="I15" s="13">
        <f t="shared" si="3"/>
        <v>20.329000000000001</v>
      </c>
      <c r="J15" s="13">
        <f t="shared" si="3"/>
        <v>20.329000000000001</v>
      </c>
      <c r="L15" s="10" t="s">
        <v>233</v>
      </c>
    </row>
    <row r="16" spans="2:18" x14ac:dyDescent="0.55000000000000004">
      <c r="B16" s="10" t="s">
        <v>241</v>
      </c>
      <c r="C16" s="13">
        <f>C59</f>
        <v>78.328000000000003</v>
      </c>
      <c r="D16" s="13">
        <f t="shared" si="3"/>
        <v>78.328000000000003</v>
      </c>
      <c r="E16" s="13">
        <f t="shared" si="3"/>
        <v>78.328000000000003</v>
      </c>
      <c r="F16" s="13">
        <f t="shared" si="3"/>
        <v>78.328000000000003</v>
      </c>
      <c r="G16" s="13">
        <f t="shared" si="3"/>
        <v>78.328000000000003</v>
      </c>
      <c r="H16" s="13">
        <f t="shared" si="3"/>
        <v>78.328000000000003</v>
      </c>
      <c r="I16" s="13">
        <f t="shared" si="3"/>
        <v>78.328000000000003</v>
      </c>
      <c r="J16" s="13">
        <f t="shared" si="3"/>
        <v>78.328000000000003</v>
      </c>
      <c r="L16" s="10" t="s">
        <v>233</v>
      </c>
    </row>
    <row r="17" spans="2:12" x14ac:dyDescent="0.55000000000000004">
      <c r="B17" s="10" t="s">
        <v>242</v>
      </c>
      <c r="C17" s="22">
        <v>5.8721745624100694E-2</v>
      </c>
      <c r="D17" s="22">
        <f t="shared" si="3"/>
        <v>5.8721745624100694E-2</v>
      </c>
      <c r="E17" s="22">
        <f t="shared" si="3"/>
        <v>5.8721745624100694E-2</v>
      </c>
      <c r="F17" s="22">
        <f t="shared" si="3"/>
        <v>5.8721745624100694E-2</v>
      </c>
      <c r="G17" s="22">
        <f t="shared" si="3"/>
        <v>5.8721745624100694E-2</v>
      </c>
      <c r="H17" s="22">
        <f t="shared" si="3"/>
        <v>5.8721745624100694E-2</v>
      </c>
      <c r="I17" s="22">
        <f t="shared" si="3"/>
        <v>5.8721745624100694E-2</v>
      </c>
      <c r="J17" s="22">
        <f t="shared" si="3"/>
        <v>5.8721745624100694E-2</v>
      </c>
      <c r="L17" s="10" t="s">
        <v>233</v>
      </c>
    </row>
    <row r="18" spans="2:12" x14ac:dyDescent="0.55000000000000004">
      <c r="B18" s="10" t="s">
        <v>206</v>
      </c>
      <c r="C18" s="22">
        <v>2.3950365359550363E-2</v>
      </c>
      <c r="D18" s="22">
        <f t="shared" si="3"/>
        <v>2.3950365359550363E-2</v>
      </c>
      <c r="E18" s="22">
        <f t="shared" si="3"/>
        <v>2.3950365359550363E-2</v>
      </c>
      <c r="F18" s="22">
        <f t="shared" si="3"/>
        <v>2.3950365359550363E-2</v>
      </c>
      <c r="G18" s="22">
        <f t="shared" si="3"/>
        <v>2.3950365359550363E-2</v>
      </c>
      <c r="H18" s="22">
        <f t="shared" si="3"/>
        <v>2.3950365359550363E-2</v>
      </c>
      <c r="I18" s="22">
        <f t="shared" si="3"/>
        <v>2.3950365359550363E-2</v>
      </c>
      <c r="J18" s="22">
        <f t="shared" si="3"/>
        <v>2.3950365359550363E-2</v>
      </c>
      <c r="L18" s="10" t="s">
        <v>233</v>
      </c>
    </row>
    <row r="19" spans="2:12" x14ac:dyDescent="0.55000000000000004">
      <c r="B19" s="10" t="s">
        <v>243</v>
      </c>
      <c r="C19" s="13">
        <f>C53</f>
        <v>83.727000000000004</v>
      </c>
      <c r="D19" s="13">
        <f t="shared" si="3"/>
        <v>83.727000000000004</v>
      </c>
      <c r="E19" s="13">
        <f t="shared" si="3"/>
        <v>83.727000000000004</v>
      </c>
      <c r="F19" s="13">
        <f t="shared" si="3"/>
        <v>83.727000000000004</v>
      </c>
      <c r="G19" s="13">
        <f t="shared" si="3"/>
        <v>83.727000000000004</v>
      </c>
      <c r="H19" s="13">
        <f t="shared" si="3"/>
        <v>83.727000000000004</v>
      </c>
      <c r="I19" s="13">
        <f t="shared" si="3"/>
        <v>83.727000000000004</v>
      </c>
      <c r="J19" s="13">
        <f t="shared" si="3"/>
        <v>83.727000000000004</v>
      </c>
      <c r="L19" s="10" t="s">
        <v>233</v>
      </c>
    </row>
    <row r="20" spans="2:12" x14ac:dyDescent="0.55000000000000004">
      <c r="B20" s="10" t="s">
        <v>207</v>
      </c>
      <c r="C20" s="22">
        <v>0.11871482432653953</v>
      </c>
      <c r="D20" s="22">
        <f t="shared" si="3"/>
        <v>0.11871482432653953</v>
      </c>
      <c r="E20" s="22">
        <f t="shared" si="3"/>
        <v>0.11871482432653953</v>
      </c>
      <c r="F20" s="22">
        <f t="shared" si="3"/>
        <v>0.11871482432653953</v>
      </c>
      <c r="G20" s="22">
        <f t="shared" si="3"/>
        <v>0.11871482432653953</v>
      </c>
      <c r="H20" s="22">
        <f t="shared" si="3"/>
        <v>0.11871482432653953</v>
      </c>
      <c r="I20" s="22">
        <f t="shared" si="3"/>
        <v>0.11871482432653953</v>
      </c>
      <c r="J20" s="22">
        <f t="shared" si="3"/>
        <v>0.11871482432653953</v>
      </c>
      <c r="L20" s="10" t="s">
        <v>233</v>
      </c>
    </row>
    <row r="21" spans="2:12" x14ac:dyDescent="0.55000000000000004">
      <c r="B21" s="10" t="s">
        <v>208</v>
      </c>
      <c r="C21" s="22">
        <v>0.24944709511143615</v>
      </c>
      <c r="D21" s="22">
        <f t="shared" si="3"/>
        <v>0.24944709511143615</v>
      </c>
      <c r="E21" s="22">
        <f t="shared" si="3"/>
        <v>0.24944709511143615</v>
      </c>
      <c r="F21" s="22">
        <f t="shared" si="3"/>
        <v>0.24944709511143615</v>
      </c>
      <c r="G21" s="22">
        <f t="shared" si="3"/>
        <v>0.24944709511143615</v>
      </c>
      <c r="H21" s="22">
        <f t="shared" si="3"/>
        <v>0.24944709511143615</v>
      </c>
      <c r="I21" s="22">
        <f t="shared" si="3"/>
        <v>0.24944709511143615</v>
      </c>
      <c r="J21" s="22">
        <f t="shared" si="3"/>
        <v>0.24944709511143615</v>
      </c>
      <c r="L21" s="10" t="s">
        <v>233</v>
      </c>
    </row>
    <row r="22" spans="2:12" x14ac:dyDescent="0.55000000000000004">
      <c r="B22" s="10" t="s">
        <v>209</v>
      </c>
      <c r="C22" s="22">
        <v>0.29091348734068967</v>
      </c>
      <c r="D22" s="22">
        <f t="shared" si="3"/>
        <v>0.29091348734068967</v>
      </c>
      <c r="E22" s="22">
        <f t="shared" si="3"/>
        <v>0.29091348734068967</v>
      </c>
      <c r="F22" s="22">
        <f t="shared" si="3"/>
        <v>0.29091348734068967</v>
      </c>
      <c r="G22" s="22">
        <f t="shared" si="3"/>
        <v>0.29091348734068967</v>
      </c>
      <c r="H22" s="22">
        <f t="shared" si="3"/>
        <v>0.29091348734068967</v>
      </c>
      <c r="I22" s="22">
        <f t="shared" si="3"/>
        <v>0.29091348734068967</v>
      </c>
      <c r="J22" s="22">
        <f t="shared" si="3"/>
        <v>0.29091348734068967</v>
      </c>
      <c r="L22" s="10" t="s">
        <v>233</v>
      </c>
    </row>
    <row r="23" spans="2:12" x14ac:dyDescent="0.55000000000000004">
      <c r="B23" s="10" t="s">
        <v>244</v>
      </c>
      <c r="C23" s="13">
        <f>C60</f>
        <v>41.548999999999999</v>
      </c>
      <c r="D23" s="13">
        <f t="shared" si="3"/>
        <v>41.548999999999999</v>
      </c>
      <c r="E23" s="13">
        <f t="shared" si="3"/>
        <v>41.548999999999999</v>
      </c>
      <c r="F23" s="13">
        <f t="shared" si="3"/>
        <v>41.548999999999999</v>
      </c>
      <c r="G23" s="13">
        <f t="shared" si="3"/>
        <v>41.548999999999999</v>
      </c>
      <c r="H23" s="13">
        <f t="shared" si="3"/>
        <v>41.548999999999999</v>
      </c>
      <c r="I23" s="13">
        <f t="shared" si="3"/>
        <v>41.548999999999999</v>
      </c>
      <c r="J23" s="13">
        <f t="shared" si="3"/>
        <v>41.548999999999999</v>
      </c>
      <c r="L23" s="10" t="s">
        <v>233</v>
      </c>
    </row>
    <row r="24" spans="2:12" ht="14.1" x14ac:dyDescent="0.55000000000000004">
      <c r="B24" s="20" t="s">
        <v>245</v>
      </c>
      <c r="C24" s="58"/>
      <c r="D24" s="20"/>
      <c r="E24" s="20"/>
      <c r="F24" s="20"/>
      <c r="G24" s="20"/>
      <c r="H24" s="20"/>
      <c r="I24" s="20"/>
      <c r="J24" s="20"/>
    </row>
    <row r="25" spans="2:12" x14ac:dyDescent="0.55000000000000004">
      <c r="B25" s="10" t="s">
        <v>246</v>
      </c>
      <c r="C25" s="59">
        <v>0.05</v>
      </c>
      <c r="D25" s="59">
        <f>C25</f>
        <v>0.05</v>
      </c>
      <c r="E25" s="59">
        <f t="shared" ref="E25:J26" si="4">D25</f>
        <v>0.05</v>
      </c>
      <c r="F25" s="59">
        <f t="shared" si="4"/>
        <v>0.05</v>
      </c>
      <c r="G25" s="59">
        <f t="shared" si="4"/>
        <v>0.05</v>
      </c>
      <c r="H25" s="59">
        <f t="shared" si="4"/>
        <v>0.05</v>
      </c>
      <c r="I25" s="59">
        <f t="shared" si="4"/>
        <v>0.05</v>
      </c>
      <c r="J25" s="59">
        <f t="shared" si="4"/>
        <v>0.05</v>
      </c>
    </row>
    <row r="26" spans="2:12" x14ac:dyDescent="0.55000000000000004">
      <c r="B26" s="10" t="s">
        <v>366</v>
      </c>
      <c r="C26" s="60">
        <v>0.8</v>
      </c>
      <c r="D26" s="60">
        <v>0.8</v>
      </c>
      <c r="E26" s="60">
        <f>D26</f>
        <v>0.8</v>
      </c>
      <c r="F26" s="60">
        <f t="shared" si="4"/>
        <v>0.8</v>
      </c>
      <c r="G26" s="60">
        <f t="shared" si="4"/>
        <v>0.8</v>
      </c>
      <c r="H26" s="60">
        <f t="shared" si="4"/>
        <v>0.8</v>
      </c>
      <c r="I26" s="60">
        <f t="shared" si="4"/>
        <v>0.8</v>
      </c>
      <c r="J26" s="60">
        <f t="shared" si="4"/>
        <v>0.8</v>
      </c>
    </row>
    <row r="27" spans="2:12" x14ac:dyDescent="0.55000000000000004">
      <c r="B27" s="10" t="s">
        <v>248</v>
      </c>
      <c r="C27" s="13"/>
      <c r="D27" s="13">
        <v>20</v>
      </c>
      <c r="E27" s="13">
        <v>20</v>
      </c>
      <c r="F27" s="13">
        <v>10</v>
      </c>
      <c r="G27" s="13">
        <v>10</v>
      </c>
      <c r="H27" s="13"/>
      <c r="I27" s="13"/>
      <c r="J27" s="13"/>
      <c r="L27" s="10" t="s">
        <v>249</v>
      </c>
    </row>
    <row r="28" spans="2:12" x14ac:dyDescent="0.55000000000000004">
      <c r="B28" s="10" t="s">
        <v>250</v>
      </c>
      <c r="C28" s="61">
        <v>0.03</v>
      </c>
      <c r="D28" s="61">
        <v>0.05</v>
      </c>
      <c r="E28" s="61">
        <v>7.0000000000000007E-2</v>
      </c>
      <c r="F28" s="61">
        <f t="shared" ref="E28:J29" si="5">E28</f>
        <v>7.0000000000000007E-2</v>
      </c>
      <c r="G28" s="61">
        <f t="shared" si="5"/>
        <v>7.0000000000000007E-2</v>
      </c>
      <c r="H28" s="61">
        <f t="shared" si="5"/>
        <v>7.0000000000000007E-2</v>
      </c>
      <c r="I28" s="61">
        <f t="shared" si="5"/>
        <v>7.0000000000000007E-2</v>
      </c>
      <c r="J28" s="61">
        <f t="shared" si="5"/>
        <v>7.0000000000000007E-2</v>
      </c>
      <c r="L28" s="10" t="s">
        <v>365</v>
      </c>
    </row>
    <row r="29" spans="2:12" x14ac:dyDescent="0.55000000000000004">
      <c r="B29" s="10" t="s">
        <v>252</v>
      </c>
      <c r="C29" s="61">
        <v>0.8</v>
      </c>
      <c r="D29" s="61">
        <f>C29</f>
        <v>0.8</v>
      </c>
      <c r="E29" s="61">
        <f t="shared" si="5"/>
        <v>0.8</v>
      </c>
      <c r="F29" s="61">
        <f t="shared" si="5"/>
        <v>0.8</v>
      </c>
      <c r="G29" s="61">
        <f t="shared" si="5"/>
        <v>0.8</v>
      </c>
      <c r="H29" s="61">
        <f t="shared" si="5"/>
        <v>0.8</v>
      </c>
      <c r="I29" s="61">
        <f t="shared" si="5"/>
        <v>0.8</v>
      </c>
      <c r="J29" s="61">
        <f t="shared" si="5"/>
        <v>0.8</v>
      </c>
      <c r="L29" s="10" t="s">
        <v>253</v>
      </c>
    </row>
    <row r="30" spans="2:12" x14ac:dyDescent="0.55000000000000004">
      <c r="B30" s="10" t="s">
        <v>254</v>
      </c>
      <c r="C30" s="61">
        <v>3.5000000000000003E-2</v>
      </c>
      <c r="D30" s="61"/>
      <c r="E30" s="61"/>
      <c r="F30" s="61"/>
      <c r="G30" s="61"/>
      <c r="H30" s="61"/>
      <c r="I30" s="61"/>
      <c r="J30" s="61"/>
    </row>
    <row r="32" spans="2:12" ht="14.1" x14ac:dyDescent="0.55000000000000004">
      <c r="B32" s="16"/>
      <c r="C32" s="16" t="s">
        <v>255</v>
      </c>
      <c r="D32" s="16" t="s">
        <v>227</v>
      </c>
      <c r="E32" s="16" t="s">
        <v>227</v>
      </c>
      <c r="F32" s="16" t="s">
        <v>227</v>
      </c>
      <c r="G32" s="16" t="s">
        <v>227</v>
      </c>
      <c r="H32" s="16" t="s">
        <v>227</v>
      </c>
      <c r="I32" s="16" t="s">
        <v>227</v>
      </c>
      <c r="J32" s="16" t="s">
        <v>227</v>
      </c>
    </row>
    <row r="33" spans="2:12" ht="14.1" x14ac:dyDescent="0.55000000000000004">
      <c r="B33" s="20" t="s">
        <v>256</v>
      </c>
      <c r="C33" s="20">
        <f>C6</f>
        <v>2025</v>
      </c>
      <c r="D33" s="20">
        <f t="shared" ref="D33:J33" si="6">D6</f>
        <v>2026</v>
      </c>
      <c r="E33" s="20">
        <f t="shared" si="6"/>
        <v>2027</v>
      </c>
      <c r="F33" s="20">
        <f t="shared" si="6"/>
        <v>2028</v>
      </c>
      <c r="G33" s="20">
        <f t="shared" si="6"/>
        <v>2029</v>
      </c>
      <c r="H33" s="20">
        <f t="shared" si="6"/>
        <v>2030</v>
      </c>
      <c r="I33" s="20">
        <f t="shared" si="6"/>
        <v>2031</v>
      </c>
      <c r="J33" s="20">
        <f t="shared" si="6"/>
        <v>2032</v>
      </c>
    </row>
    <row r="34" spans="2:12" x14ac:dyDescent="0.55000000000000004">
      <c r="B34" s="11" t="s">
        <v>11</v>
      </c>
      <c r="C34" s="11">
        <f>IS!V4</f>
        <v>416.161</v>
      </c>
      <c r="D34" s="62">
        <f>C34*(1+D7)</f>
        <v>487.18847836538458</v>
      </c>
      <c r="E34" s="62">
        <f t="shared" ref="E34:K34" si="7">D34*(1+E7)</f>
        <v>560.26675012019223</v>
      </c>
      <c r="F34" s="62">
        <f t="shared" si="7"/>
        <v>672.32010014423065</v>
      </c>
      <c r="G34" s="62">
        <f t="shared" si="7"/>
        <v>773.16811516586517</v>
      </c>
      <c r="H34" s="62">
        <f t="shared" si="7"/>
        <v>850.48492668245171</v>
      </c>
      <c r="I34" s="62">
        <f t="shared" si="7"/>
        <v>893.00917301657432</v>
      </c>
      <c r="J34" s="62">
        <f t="shared" si="7"/>
        <v>928.72953993723729</v>
      </c>
      <c r="K34" s="62"/>
      <c r="L34" s="10" t="s">
        <v>257</v>
      </c>
    </row>
    <row r="35" spans="2:12" x14ac:dyDescent="0.55000000000000004">
      <c r="B35" s="11" t="s">
        <v>12</v>
      </c>
      <c r="C35" s="11">
        <f>IS!V5</f>
        <v>-220.96</v>
      </c>
      <c r="D35" s="62">
        <f t="shared" ref="D35:J35" si="8">-D34*D8</f>
        <v>-243.59423918269229</v>
      </c>
      <c r="E35" s="62">
        <f t="shared" si="8"/>
        <v>-268.92804005769227</v>
      </c>
      <c r="F35" s="62">
        <f t="shared" si="8"/>
        <v>-309.2672460663461</v>
      </c>
      <c r="G35" s="62">
        <f t="shared" si="8"/>
        <v>-347.92565182463932</v>
      </c>
      <c r="H35" s="62">
        <f t="shared" si="8"/>
        <v>-382.71821700710331</v>
      </c>
      <c r="I35" s="62">
        <f t="shared" si="8"/>
        <v>-401.85412785745848</v>
      </c>
      <c r="J35" s="62">
        <f t="shared" si="8"/>
        <v>-417.92829297175678</v>
      </c>
    </row>
    <row r="36" spans="2:12" x14ac:dyDescent="0.55000000000000004">
      <c r="B36" s="11" t="s">
        <v>13</v>
      </c>
      <c r="C36" s="62">
        <f>SUM(C34:C35)</f>
        <v>195.20099999999999</v>
      </c>
      <c r="D36" s="62">
        <f t="shared" ref="D36:J36" si="9">SUM(D34:D35)</f>
        <v>243.59423918269229</v>
      </c>
      <c r="E36" s="62">
        <f t="shared" si="9"/>
        <v>291.33871006249996</v>
      </c>
      <c r="F36" s="62">
        <f t="shared" si="9"/>
        <v>363.05285407788455</v>
      </c>
      <c r="G36" s="62">
        <f t="shared" si="9"/>
        <v>425.24246334122586</v>
      </c>
      <c r="H36" s="62">
        <f t="shared" si="9"/>
        <v>467.76670967534841</v>
      </c>
      <c r="I36" s="62">
        <f t="shared" si="9"/>
        <v>491.15504515911584</v>
      </c>
      <c r="J36" s="62">
        <f t="shared" si="9"/>
        <v>510.80124696548052</v>
      </c>
    </row>
    <row r="37" spans="2:12" x14ac:dyDescent="0.55000000000000004">
      <c r="B37" s="44" t="s">
        <v>14</v>
      </c>
      <c r="C37" s="63">
        <f>IS!V7</f>
        <v>-62.1</v>
      </c>
      <c r="D37" s="63">
        <f t="shared" ref="D37:J37" si="10">-D34*D9</f>
        <v>-72.698798076923069</v>
      </c>
      <c r="E37" s="63">
        <f t="shared" si="10"/>
        <v>-83.603617788461534</v>
      </c>
      <c r="F37" s="63">
        <f t="shared" si="10"/>
        <v>-100.32434134615383</v>
      </c>
      <c r="G37" s="63">
        <f t="shared" si="10"/>
        <v>-115.37299254807689</v>
      </c>
      <c r="H37" s="63">
        <f t="shared" si="10"/>
        <v>-126.91029180288459</v>
      </c>
      <c r="I37" s="63">
        <f t="shared" si="10"/>
        <v>-133.25580639302882</v>
      </c>
      <c r="J37" s="63">
        <f t="shared" si="10"/>
        <v>-138.58603864874996</v>
      </c>
    </row>
    <row r="38" spans="2:12" ht="14.1" x14ac:dyDescent="0.55000000000000004">
      <c r="B38" s="12" t="s">
        <v>17</v>
      </c>
      <c r="C38" s="64">
        <f>SUM(C36:C37)</f>
        <v>133.101</v>
      </c>
      <c r="D38" s="64">
        <f t="shared" ref="D38:J38" si="11">SUM(D36:D37)</f>
        <v>170.89544110576924</v>
      </c>
      <c r="E38" s="64">
        <f t="shared" si="11"/>
        <v>207.73509227403844</v>
      </c>
      <c r="F38" s="64">
        <f t="shared" si="11"/>
        <v>262.72851273173069</v>
      </c>
      <c r="G38" s="64">
        <f t="shared" si="11"/>
        <v>309.86947079314893</v>
      </c>
      <c r="H38" s="64">
        <f t="shared" si="11"/>
        <v>340.85641787246379</v>
      </c>
      <c r="I38" s="64">
        <f t="shared" si="11"/>
        <v>357.89923876608702</v>
      </c>
      <c r="J38" s="64">
        <f t="shared" si="11"/>
        <v>372.21520831673058</v>
      </c>
    </row>
    <row r="39" spans="2:12" x14ac:dyDescent="0.55000000000000004">
      <c r="B39" s="11" t="s">
        <v>234</v>
      </c>
      <c r="C39" s="62"/>
      <c r="D39" s="62">
        <f>D10*C48</f>
        <v>2.8945799999999999</v>
      </c>
      <c r="E39" s="62">
        <f>E10*D48</f>
        <v>2.7783192517572197</v>
      </c>
      <c r="F39" s="62">
        <f t="shared" ref="F39:I39" si="12">F10*E48</f>
        <v>2.2606706187033443</v>
      </c>
      <c r="G39" s="62">
        <f t="shared" si="12"/>
        <v>2.4354506497543209</v>
      </c>
      <c r="H39" s="62">
        <f t="shared" si="12"/>
        <v>2.8798353915796793</v>
      </c>
      <c r="I39" s="62">
        <f t="shared" si="12"/>
        <v>3.9522593502426937</v>
      </c>
      <c r="J39" s="62">
        <f>J10*I48</f>
        <v>5.0258611156122566</v>
      </c>
    </row>
    <row r="40" spans="2:12" x14ac:dyDescent="0.55000000000000004">
      <c r="B40" s="11" t="s">
        <v>143</v>
      </c>
      <c r="C40" s="62"/>
      <c r="D40" s="62">
        <f>-D11*(C58+C59)</f>
        <v>-4.9328500000000011</v>
      </c>
      <c r="E40" s="62">
        <f>-E11*(D58+D59)</f>
        <v>-4.9328500000000011</v>
      </c>
      <c r="F40" s="62">
        <f t="shared" ref="F40:J40" si="13">-F11*(E58+E59)</f>
        <v>-4.9328500000000011</v>
      </c>
      <c r="G40" s="62">
        <f t="shared" si="13"/>
        <v>-4.9328500000000011</v>
      </c>
      <c r="H40" s="62">
        <f t="shared" si="13"/>
        <v>-4.9328500000000011</v>
      </c>
      <c r="I40" s="62">
        <f t="shared" si="13"/>
        <v>-4.9328500000000011</v>
      </c>
      <c r="J40" s="62">
        <f t="shared" si="13"/>
        <v>-4.9328500000000011</v>
      </c>
    </row>
    <row r="41" spans="2:12" x14ac:dyDescent="0.55000000000000004">
      <c r="B41" s="11" t="s">
        <v>19</v>
      </c>
      <c r="C41" s="62">
        <f>IS!V12</f>
        <v>132.72900000000001</v>
      </c>
      <c r="D41" s="62">
        <f t="shared" ref="D41:I41" si="14">SUM(D38:D40)</f>
        <v>168.85717110576923</v>
      </c>
      <c r="E41" s="62">
        <f t="shared" ref="E41" si="15">SUM(E38:E40)</f>
        <v>205.58056152579564</v>
      </c>
      <c r="F41" s="62">
        <f t="shared" si="14"/>
        <v>260.05633335043404</v>
      </c>
      <c r="G41" s="62">
        <f t="shared" si="14"/>
        <v>307.37207144290329</v>
      </c>
      <c r="H41" s="62">
        <f t="shared" si="14"/>
        <v>338.80340326404348</v>
      </c>
      <c r="I41" s="62">
        <f t="shared" si="14"/>
        <v>356.91864811632973</v>
      </c>
      <c r="J41" s="62">
        <f t="shared" ref="J41" si="16">SUM(J38:J40)</f>
        <v>372.30821943234287</v>
      </c>
    </row>
    <row r="42" spans="2:12" x14ac:dyDescent="0.55000000000000004">
      <c r="B42" s="44" t="s">
        <v>20</v>
      </c>
      <c r="C42" s="63">
        <f>IS!V13</f>
        <v>-20.719000000000001</v>
      </c>
      <c r="D42" s="63">
        <f t="shared" ref="D42:J42" si="17">-D41*D12</f>
        <v>-33.771434221153847</v>
      </c>
      <c r="E42" s="63">
        <f t="shared" si="17"/>
        <v>-41.116112305159135</v>
      </c>
      <c r="F42" s="63">
        <f t="shared" si="17"/>
        <v>-52.011266670086812</v>
      </c>
      <c r="G42" s="63">
        <f t="shared" si="17"/>
        <v>-61.474414288580661</v>
      </c>
      <c r="H42" s="63">
        <f t="shared" si="17"/>
        <v>-67.760680652808702</v>
      </c>
      <c r="I42" s="63">
        <f t="shared" si="17"/>
        <v>-71.38372962326595</v>
      </c>
      <c r="J42" s="63">
        <f t="shared" si="17"/>
        <v>-74.461643886468579</v>
      </c>
    </row>
    <row r="43" spans="2:12" ht="14.1" x14ac:dyDescent="0.55000000000000004">
      <c r="B43" s="12" t="s">
        <v>21</v>
      </c>
      <c r="C43" s="64">
        <f>SUM(C41:C42)</f>
        <v>112.01000000000002</v>
      </c>
      <c r="D43" s="64">
        <f t="shared" ref="D43:J43" si="18">SUM(D41:D42)</f>
        <v>135.08573688461539</v>
      </c>
      <c r="E43" s="64">
        <f t="shared" si="18"/>
        <v>164.46444922063651</v>
      </c>
      <c r="F43" s="64">
        <f t="shared" si="18"/>
        <v>208.04506668034725</v>
      </c>
      <c r="G43" s="64">
        <f t="shared" si="18"/>
        <v>245.89765715432264</v>
      </c>
      <c r="H43" s="64">
        <f t="shared" si="18"/>
        <v>271.04272261123481</v>
      </c>
      <c r="I43" s="64">
        <f t="shared" si="18"/>
        <v>285.5349184930638</v>
      </c>
      <c r="J43" s="64">
        <f t="shared" si="18"/>
        <v>297.84657554587432</v>
      </c>
    </row>
    <row r="44" spans="2:12" x14ac:dyDescent="0.55000000000000004">
      <c r="B44" s="11"/>
    </row>
    <row r="45" spans="2:12" ht="14.1" x14ac:dyDescent="0.55000000000000004">
      <c r="B45" s="12"/>
      <c r="C45" s="57" t="s">
        <v>226</v>
      </c>
      <c r="D45" s="57" t="s">
        <v>227</v>
      </c>
      <c r="E45" s="57" t="s">
        <v>227</v>
      </c>
      <c r="F45" s="57" t="s">
        <v>227</v>
      </c>
      <c r="G45" s="57" t="s">
        <v>227</v>
      </c>
      <c r="H45" s="57" t="s">
        <v>227</v>
      </c>
      <c r="I45" s="57" t="s">
        <v>227</v>
      </c>
      <c r="J45" s="57" t="s">
        <v>227</v>
      </c>
    </row>
    <row r="46" spans="2:12" ht="14.1" x14ac:dyDescent="0.55000000000000004">
      <c r="B46" s="27" t="s">
        <v>258</v>
      </c>
      <c r="C46" s="20">
        <f>C6</f>
        <v>2025</v>
      </c>
      <c r="D46" s="20">
        <f t="shared" ref="D46:J46" si="19">D33</f>
        <v>2026</v>
      </c>
      <c r="E46" s="20">
        <f t="shared" si="19"/>
        <v>2027</v>
      </c>
      <c r="F46" s="20">
        <f t="shared" si="19"/>
        <v>2028</v>
      </c>
      <c r="G46" s="20">
        <f t="shared" si="19"/>
        <v>2029</v>
      </c>
      <c r="H46" s="20">
        <f t="shared" si="19"/>
        <v>2030</v>
      </c>
      <c r="I46" s="20">
        <f t="shared" si="19"/>
        <v>2031</v>
      </c>
      <c r="J46" s="20">
        <f t="shared" si="19"/>
        <v>2032</v>
      </c>
    </row>
    <row r="47" spans="2:12" x14ac:dyDescent="0.55000000000000004">
      <c r="B47" s="11" t="s">
        <v>259</v>
      </c>
      <c r="C47" s="62">
        <f>BS!V6</f>
        <v>35.933999999999997</v>
      </c>
      <c r="D47" s="62">
        <f>D14</f>
        <v>35.933999999999997</v>
      </c>
      <c r="E47" s="62">
        <f t="shared" ref="E47:J47" si="20">D47</f>
        <v>35.933999999999997</v>
      </c>
      <c r="F47" s="62">
        <f t="shared" si="20"/>
        <v>35.933999999999997</v>
      </c>
      <c r="G47" s="62">
        <f t="shared" si="20"/>
        <v>35.933999999999997</v>
      </c>
      <c r="H47" s="62">
        <f t="shared" si="20"/>
        <v>35.933999999999997</v>
      </c>
      <c r="I47" s="62">
        <f t="shared" si="20"/>
        <v>35.933999999999997</v>
      </c>
      <c r="J47" s="62">
        <f t="shared" si="20"/>
        <v>35.933999999999997</v>
      </c>
    </row>
    <row r="48" spans="2:12" x14ac:dyDescent="0.55000000000000004">
      <c r="B48" s="11" t="s">
        <v>260</v>
      </c>
      <c r="C48" s="62">
        <f>BS!V7+BS!V15</f>
        <v>96.486000000000004</v>
      </c>
      <c r="D48" s="62">
        <f t="shared" ref="D48:I48" si="21">D63-D47-SUM(D49:D53)</f>
        <v>69.457981293930487</v>
      </c>
      <c r="E48" s="62">
        <f t="shared" si="21"/>
        <v>56.51676546758361</v>
      </c>
      <c r="F48" s="62">
        <f t="shared" si="21"/>
        <v>60.886266243858017</v>
      </c>
      <c r="G48" s="62">
        <f t="shared" si="21"/>
        <v>71.995884789491981</v>
      </c>
      <c r="H48" s="62">
        <f t="shared" si="21"/>
        <v>98.806483756067337</v>
      </c>
      <c r="I48" s="62">
        <f t="shared" si="21"/>
        <v>125.6465278903064</v>
      </c>
      <c r="J48" s="62">
        <f>J63-J47-SUM(J49:J53)</f>
        <v>153.56997194988139</v>
      </c>
      <c r="L48" s="10" t="s">
        <v>261</v>
      </c>
    </row>
    <row r="49" spans="2:12" x14ac:dyDescent="0.55000000000000004">
      <c r="B49" s="11" t="s">
        <v>262</v>
      </c>
      <c r="C49" s="62">
        <f>BS!V8</f>
        <v>39.777000000000001</v>
      </c>
      <c r="D49" s="62">
        <f t="shared" ref="D49:J49" si="22">D17*D34</f>
        <v>28.608557897564797</v>
      </c>
      <c r="E49" s="62">
        <f t="shared" si="22"/>
        <v>32.899841582199514</v>
      </c>
      <c r="F49" s="62">
        <f t="shared" si="22"/>
        <v>39.479809898639417</v>
      </c>
      <c r="G49" s="62">
        <f t="shared" si="22"/>
        <v>45.401781383435328</v>
      </c>
      <c r="H49" s="62">
        <f t="shared" si="22"/>
        <v>49.941959521778855</v>
      </c>
      <c r="I49" s="62">
        <f t="shared" si="22"/>
        <v>52.4390574978678</v>
      </c>
      <c r="J49" s="62">
        <f t="shared" si="22"/>
        <v>54.536619797782514</v>
      </c>
    </row>
    <row r="50" spans="2:12" x14ac:dyDescent="0.55000000000000004">
      <c r="B50" s="11" t="s">
        <v>263</v>
      </c>
      <c r="C50" s="62">
        <f>BS!V9</f>
        <v>5.718</v>
      </c>
      <c r="D50" s="62">
        <f t="shared" ref="D50:J50" si="23">-D18*D35</f>
        <v>5.8341710279071792</v>
      </c>
      <c r="E50" s="62">
        <f t="shared" si="23"/>
        <v>6.4409248148095255</v>
      </c>
      <c r="F50" s="62">
        <f t="shared" si="23"/>
        <v>7.4070635370309539</v>
      </c>
      <c r="G50" s="62">
        <f t="shared" si="23"/>
        <v>8.3329464791598227</v>
      </c>
      <c r="H50" s="62">
        <f t="shared" si="23"/>
        <v>9.1662411270758053</v>
      </c>
      <c r="I50" s="62">
        <f t="shared" si="23"/>
        <v>9.6245531834295956</v>
      </c>
      <c r="J50" s="62">
        <f t="shared" si="23"/>
        <v>10.009535310766779</v>
      </c>
    </row>
    <row r="51" spans="2:12" x14ac:dyDescent="0.55000000000000004">
      <c r="B51" s="11" t="s">
        <v>264</v>
      </c>
      <c r="C51" s="62">
        <f>BS!V14+BS!V11</f>
        <v>47.765000000000001</v>
      </c>
      <c r="D51" s="62">
        <f t="shared" ref="D51:J51" si="24">D20*D34</f>
        <v>57.836494623060737</v>
      </c>
      <c r="E51" s="62">
        <f t="shared" si="24"/>
        <v>66.51196881651984</v>
      </c>
      <c r="F51" s="62">
        <f t="shared" si="24"/>
        <v>79.814362579823808</v>
      </c>
      <c r="G51" s="62">
        <f t="shared" si="24"/>
        <v>91.786516966797365</v>
      </c>
      <c r="H51" s="62">
        <f t="shared" si="24"/>
        <v>100.9651686634771</v>
      </c>
      <c r="I51" s="62">
        <f t="shared" si="24"/>
        <v>106.01342709665096</v>
      </c>
      <c r="J51" s="62">
        <f t="shared" si="24"/>
        <v>110.253964180517</v>
      </c>
    </row>
    <row r="52" spans="2:12" x14ac:dyDescent="0.55000000000000004">
      <c r="B52" s="11" t="s">
        <v>265</v>
      </c>
      <c r="C52" s="62">
        <f>BS!V16</f>
        <v>49.834000000000003</v>
      </c>
      <c r="D52" s="62">
        <f>C52+D66-D67</f>
        <v>55.436667501201917</v>
      </c>
      <c r="E52" s="62">
        <f t="shared" ref="E52:J52" si="25">D52+E66-E67</f>
        <v>64.849148903221135</v>
      </c>
      <c r="F52" s="62">
        <f t="shared" si="25"/>
        <v>75.673502515543248</v>
      </c>
      <c r="G52" s="62">
        <f t="shared" si="25"/>
        <v>87.580291489097561</v>
      </c>
      <c r="H52" s="62">
        <f t="shared" si="25"/>
        <v>100.08241991132959</v>
      </c>
      <c r="I52" s="62">
        <f t="shared" si="25"/>
        <v>112.58454833356163</v>
      </c>
      <c r="J52" s="62">
        <f t="shared" si="25"/>
        <v>125.08667675579366</v>
      </c>
      <c r="L52" s="10" t="s">
        <v>266</v>
      </c>
    </row>
    <row r="53" spans="2:12" x14ac:dyDescent="0.55000000000000004">
      <c r="B53" s="11" t="s">
        <v>267</v>
      </c>
      <c r="C53" s="62">
        <f>BS!V19</f>
        <v>83.727000000000004</v>
      </c>
      <c r="D53" s="62">
        <f t="shared" ref="D53:J53" si="26">D19</f>
        <v>83.727000000000004</v>
      </c>
      <c r="E53" s="62">
        <f t="shared" si="26"/>
        <v>83.727000000000004</v>
      </c>
      <c r="F53" s="62">
        <f t="shared" si="26"/>
        <v>83.727000000000004</v>
      </c>
      <c r="G53" s="62">
        <f t="shared" si="26"/>
        <v>83.727000000000004</v>
      </c>
      <c r="H53" s="62">
        <f t="shared" si="26"/>
        <v>83.727000000000004</v>
      </c>
      <c r="I53" s="62">
        <f t="shared" si="26"/>
        <v>83.727000000000004</v>
      </c>
      <c r="J53" s="62">
        <f t="shared" si="26"/>
        <v>83.727000000000004</v>
      </c>
    </row>
    <row r="54" spans="2:12" ht="14.1" x14ac:dyDescent="0.55000000000000004">
      <c r="B54" s="47" t="s">
        <v>23</v>
      </c>
      <c r="C54" s="65">
        <f>SUM(C47:C53)</f>
        <v>359.24099999999999</v>
      </c>
      <c r="D54" s="65">
        <f t="shared" ref="D54:J54" si="27">SUM(D47:D53)</f>
        <v>336.8348723436651</v>
      </c>
      <c r="E54" s="65">
        <f t="shared" si="27"/>
        <v>346.87964958433361</v>
      </c>
      <c r="F54" s="65">
        <f t="shared" si="27"/>
        <v>382.92200477489541</v>
      </c>
      <c r="G54" s="65">
        <f t="shared" si="27"/>
        <v>424.75842110798203</v>
      </c>
      <c r="H54" s="65">
        <f t="shared" si="27"/>
        <v>478.62327297972865</v>
      </c>
      <c r="I54" s="65">
        <f t="shared" si="27"/>
        <v>525.96911400181637</v>
      </c>
      <c r="J54" s="65">
        <f t="shared" si="27"/>
        <v>573.11776799474137</v>
      </c>
    </row>
    <row r="55" spans="2:12" ht="14.1" x14ac:dyDescent="0.55000000000000004">
      <c r="B55" s="12"/>
    </row>
    <row r="56" spans="2:12" x14ac:dyDescent="0.55000000000000004">
      <c r="B56" s="11" t="s">
        <v>112</v>
      </c>
      <c r="C56" s="62">
        <f>BS!V23</f>
        <v>69.86</v>
      </c>
      <c r="D56" s="62">
        <f t="shared" ref="D56:J56" si="28">-D21*D35</f>
        <v>60.763875350002969</v>
      </c>
      <c r="E56" s="62">
        <f t="shared" si="28"/>
        <v>67.083318386403278</v>
      </c>
      <c r="F56" s="62">
        <f t="shared" si="28"/>
        <v>77.145816144363764</v>
      </c>
      <c r="G56" s="62">
        <f t="shared" si="28"/>
        <v>86.789043162409214</v>
      </c>
      <c r="H56" s="62">
        <f t="shared" si="28"/>
        <v>95.46794747865016</v>
      </c>
      <c r="I56" s="62">
        <f t="shared" si="28"/>
        <v>100.24134485258267</v>
      </c>
      <c r="J56" s="62">
        <f t="shared" si="28"/>
        <v>104.25099864668596</v>
      </c>
    </row>
    <row r="57" spans="2:12" x14ac:dyDescent="0.55000000000000004">
      <c r="B57" s="11" t="s">
        <v>268</v>
      </c>
      <c r="C57" s="62">
        <f>BS!V24+BS!V26</f>
        <v>75.442000000000007</v>
      </c>
      <c r="D57" s="62">
        <f t="shared" ref="D57:J57" si="29">-D22*D35</f>
        <v>70.864849616739079</v>
      </c>
      <c r="E57" s="62">
        <f t="shared" si="29"/>
        <v>78.234793976879942</v>
      </c>
      <c r="F57" s="62">
        <f t="shared" si="29"/>
        <v>89.970013073411934</v>
      </c>
      <c r="G57" s="62">
        <f t="shared" si="29"/>
        <v>101.21626470758841</v>
      </c>
      <c r="H57" s="62">
        <f t="shared" si="29"/>
        <v>111.33789117834726</v>
      </c>
      <c r="I57" s="62">
        <f t="shared" si="29"/>
        <v>116.90478573726463</v>
      </c>
      <c r="J57" s="62">
        <f t="shared" si="29"/>
        <v>121.5809771667552</v>
      </c>
    </row>
    <row r="58" spans="2:12" x14ac:dyDescent="0.55000000000000004">
      <c r="B58" s="11" t="s">
        <v>140</v>
      </c>
      <c r="C58" s="62">
        <f>BS!V27+BS!V28</f>
        <v>20.329000000000001</v>
      </c>
      <c r="D58" s="62">
        <f t="shared" ref="D58:J59" si="30">D15</f>
        <v>20.329000000000001</v>
      </c>
      <c r="E58" s="62">
        <f t="shared" si="30"/>
        <v>20.329000000000001</v>
      </c>
      <c r="F58" s="62">
        <f t="shared" si="30"/>
        <v>20.329000000000001</v>
      </c>
      <c r="G58" s="62">
        <f t="shared" si="30"/>
        <v>20.329000000000001</v>
      </c>
      <c r="H58" s="62">
        <f t="shared" si="30"/>
        <v>20.329000000000001</v>
      </c>
      <c r="I58" s="62">
        <f t="shared" si="30"/>
        <v>20.329000000000001</v>
      </c>
      <c r="J58" s="62">
        <f t="shared" si="30"/>
        <v>20.329000000000001</v>
      </c>
    </row>
    <row r="59" spans="2:12" x14ac:dyDescent="0.55000000000000004">
      <c r="B59" s="11" t="s">
        <v>269</v>
      </c>
      <c r="C59" s="62">
        <f>BS!V29</f>
        <v>78.328000000000003</v>
      </c>
      <c r="D59" s="62">
        <f t="shared" si="30"/>
        <v>78.328000000000003</v>
      </c>
      <c r="E59" s="62">
        <f t="shared" si="30"/>
        <v>78.328000000000003</v>
      </c>
      <c r="F59" s="62">
        <f t="shared" si="30"/>
        <v>78.328000000000003</v>
      </c>
      <c r="G59" s="62">
        <f t="shared" si="30"/>
        <v>78.328000000000003</v>
      </c>
      <c r="H59" s="62">
        <f t="shared" si="30"/>
        <v>78.328000000000003</v>
      </c>
      <c r="I59" s="62">
        <f t="shared" si="30"/>
        <v>78.328000000000003</v>
      </c>
      <c r="J59" s="62">
        <f t="shared" si="30"/>
        <v>78.328000000000003</v>
      </c>
    </row>
    <row r="60" spans="2:12" x14ac:dyDescent="0.55000000000000004">
      <c r="B60" s="11" t="s">
        <v>270</v>
      </c>
      <c r="C60" s="62">
        <f>BS!V30</f>
        <v>41.548999999999999</v>
      </c>
      <c r="D60" s="62">
        <f t="shared" ref="D60:J60" si="31">D23</f>
        <v>41.548999999999999</v>
      </c>
      <c r="E60" s="62">
        <f t="shared" si="31"/>
        <v>41.548999999999999</v>
      </c>
      <c r="F60" s="62">
        <f t="shared" si="31"/>
        <v>41.548999999999999</v>
      </c>
      <c r="G60" s="62">
        <f t="shared" si="31"/>
        <v>41.548999999999999</v>
      </c>
      <c r="H60" s="62">
        <f t="shared" si="31"/>
        <v>41.548999999999999</v>
      </c>
      <c r="I60" s="62">
        <f t="shared" si="31"/>
        <v>41.548999999999999</v>
      </c>
      <c r="J60" s="62">
        <f t="shared" si="31"/>
        <v>41.548999999999999</v>
      </c>
    </row>
    <row r="61" spans="2:12" x14ac:dyDescent="0.55000000000000004">
      <c r="B61" s="11" t="s">
        <v>271</v>
      </c>
      <c r="C61" s="62">
        <f>SUM(C56:C60)</f>
        <v>285.50800000000004</v>
      </c>
      <c r="D61" s="62">
        <f t="shared" ref="D61:J61" si="32">SUM(D56:D60)</f>
        <v>271.83472496674204</v>
      </c>
      <c r="E61" s="62">
        <f t="shared" si="32"/>
        <v>285.52411236328322</v>
      </c>
      <c r="F61" s="62">
        <f t="shared" si="32"/>
        <v>307.32182921777564</v>
      </c>
      <c r="G61" s="62">
        <f t="shared" si="32"/>
        <v>328.21130786999765</v>
      </c>
      <c r="H61" s="62">
        <f t="shared" si="32"/>
        <v>347.01183865699738</v>
      </c>
      <c r="I61" s="62">
        <f t="shared" si="32"/>
        <v>357.35213058984732</v>
      </c>
      <c r="J61" s="62">
        <f t="shared" si="32"/>
        <v>366.03797581344111</v>
      </c>
    </row>
    <row r="62" spans="2:12" x14ac:dyDescent="0.55000000000000004">
      <c r="B62" s="11" t="s">
        <v>272</v>
      </c>
      <c r="C62" s="62">
        <f>BS!V33</f>
        <v>73.733000000000004</v>
      </c>
      <c r="D62" s="62">
        <f>C62+D43-D68-D69</f>
        <v>65.000147376923081</v>
      </c>
      <c r="E62" s="62">
        <f t="shared" ref="E62:J62" si="33">D62+E43-E68-E69</f>
        <v>61.355537221050383</v>
      </c>
      <c r="F62" s="62">
        <f t="shared" si="33"/>
        <v>75.600175557119826</v>
      </c>
      <c r="G62" s="62">
        <f t="shared" si="33"/>
        <v>96.547113237984377</v>
      </c>
      <c r="H62" s="62">
        <f t="shared" si="33"/>
        <v>131.61143432273133</v>
      </c>
      <c r="I62" s="62">
        <f t="shared" si="33"/>
        <v>168.61698341196904</v>
      </c>
      <c r="J62" s="62">
        <f t="shared" si="33"/>
        <v>207.07979218130015</v>
      </c>
      <c r="L62" s="10" t="s">
        <v>273</v>
      </c>
    </row>
    <row r="63" spans="2:12" ht="14.1" x14ac:dyDescent="0.55000000000000004">
      <c r="B63" s="47" t="s">
        <v>274</v>
      </c>
      <c r="C63" s="66">
        <f>SUM(C61:C62)</f>
        <v>359.24100000000004</v>
      </c>
      <c r="D63" s="66">
        <f t="shared" ref="D63:J63" si="34">D62+D61</f>
        <v>336.8348723436651</v>
      </c>
      <c r="E63" s="66">
        <f t="shared" si="34"/>
        <v>346.87964958433361</v>
      </c>
      <c r="F63" s="66">
        <f t="shared" si="34"/>
        <v>382.92200477489547</v>
      </c>
      <c r="G63" s="66">
        <f t="shared" si="34"/>
        <v>424.75842110798203</v>
      </c>
      <c r="H63" s="66">
        <f t="shared" si="34"/>
        <v>478.62327297972871</v>
      </c>
      <c r="I63" s="66">
        <f t="shared" si="34"/>
        <v>525.96911400181637</v>
      </c>
      <c r="J63" s="66">
        <f t="shared" si="34"/>
        <v>573.11776799474126</v>
      </c>
    </row>
    <row r="64" spans="2:12" x14ac:dyDescent="0.55000000000000004">
      <c r="C64" s="67"/>
    </row>
    <row r="65" spans="2:10" ht="14.1" x14ac:dyDescent="0.55000000000000004">
      <c r="B65" s="27" t="s">
        <v>275</v>
      </c>
      <c r="C65" s="20"/>
      <c r="D65" s="20"/>
      <c r="E65" s="20"/>
      <c r="F65" s="20"/>
      <c r="G65" s="20"/>
      <c r="H65" s="20"/>
      <c r="I65" s="20"/>
      <c r="J65" s="20"/>
    </row>
    <row r="66" spans="2:10" x14ac:dyDescent="0.55000000000000004">
      <c r="B66" s="11" t="s">
        <v>147</v>
      </c>
      <c r="C66" s="13"/>
      <c r="D66" s="13">
        <f>D28*E34</f>
        <v>28.013337506009613</v>
      </c>
      <c r="E66" s="13">
        <f t="shared" ref="E66:H66" si="35">E28*F34</f>
        <v>47.062407010096152</v>
      </c>
      <c r="F66" s="13">
        <f t="shared" si="35"/>
        <v>54.121768061610567</v>
      </c>
      <c r="G66" s="13">
        <f t="shared" si="35"/>
        <v>59.533944867771623</v>
      </c>
      <c r="H66" s="13">
        <f t="shared" si="35"/>
        <v>62.510642111160209</v>
      </c>
      <c r="I66" s="13">
        <f>H66</f>
        <v>62.510642111160209</v>
      </c>
      <c r="J66" s="13">
        <f>I66</f>
        <v>62.510642111160209</v>
      </c>
    </row>
    <row r="67" spans="2:10" x14ac:dyDescent="0.55000000000000004">
      <c r="B67" s="11" t="s">
        <v>276</v>
      </c>
      <c r="C67" s="13"/>
      <c r="D67" s="13">
        <f>D66*D29</f>
        <v>22.410670004807692</v>
      </c>
      <c r="E67" s="13">
        <f t="shared" ref="E67:H67" si="36">E66*E29</f>
        <v>37.64992560807692</v>
      </c>
      <c r="F67" s="13">
        <f t="shared" si="36"/>
        <v>43.297414449288453</v>
      </c>
      <c r="G67" s="13">
        <f t="shared" si="36"/>
        <v>47.627155894217303</v>
      </c>
      <c r="H67" s="13">
        <f t="shared" si="36"/>
        <v>50.008513688928169</v>
      </c>
      <c r="I67" s="13">
        <f>H67</f>
        <v>50.008513688928169</v>
      </c>
      <c r="J67" s="13">
        <f>I67</f>
        <v>50.008513688928169</v>
      </c>
    </row>
    <row r="68" spans="2:10" x14ac:dyDescent="0.55000000000000004">
      <c r="B68" s="11" t="s">
        <v>144</v>
      </c>
      <c r="C68" s="13">
        <v>15</v>
      </c>
      <c r="D68" s="13">
        <f>C68*(1+D25)</f>
        <v>15.75</v>
      </c>
      <c r="E68" s="13">
        <f t="shared" ref="E68:J68" si="37">D68*(1+E25)</f>
        <v>16.537500000000001</v>
      </c>
      <c r="F68" s="13">
        <f t="shared" si="37"/>
        <v>17.364375000000003</v>
      </c>
      <c r="G68" s="13">
        <f t="shared" si="37"/>
        <v>18.232593750000003</v>
      </c>
      <c r="H68" s="13">
        <f t="shared" si="37"/>
        <v>19.144223437500003</v>
      </c>
      <c r="I68" s="13">
        <f t="shared" si="37"/>
        <v>20.101434609375005</v>
      </c>
      <c r="J68" s="13">
        <f t="shared" si="37"/>
        <v>21.106506339843754</v>
      </c>
    </row>
    <row r="69" spans="2:10" x14ac:dyDescent="0.55000000000000004">
      <c r="B69" s="11" t="s">
        <v>277</v>
      </c>
      <c r="C69" s="13"/>
      <c r="D69" s="13">
        <f t="shared" ref="D69:I69" si="38">D26*D43+D27</f>
        <v>128.06858950769231</v>
      </c>
      <c r="E69" s="13">
        <f t="shared" si="38"/>
        <v>151.57155937650921</v>
      </c>
      <c r="F69" s="13">
        <f t="shared" si="38"/>
        <v>176.43605334427781</v>
      </c>
      <c r="G69" s="13">
        <f t="shared" si="38"/>
        <v>206.71812572345812</v>
      </c>
      <c r="H69" s="13">
        <f t="shared" si="38"/>
        <v>216.83417808898787</v>
      </c>
      <c r="I69" s="13">
        <f t="shared" si="38"/>
        <v>228.42793479445106</v>
      </c>
      <c r="J69" s="13">
        <f>J26*J43+J27</f>
        <v>238.27726043669946</v>
      </c>
    </row>
    <row r="70" spans="2:10" x14ac:dyDescent="0.55000000000000004">
      <c r="B70" s="11"/>
      <c r="C70" s="13"/>
      <c r="D70" s="13"/>
      <c r="E70" s="13"/>
      <c r="F70" s="13"/>
      <c r="G70" s="13"/>
      <c r="H70" s="13"/>
      <c r="I70" s="13"/>
      <c r="J70" s="13"/>
    </row>
    <row r="71" spans="2:10" ht="14.1" x14ac:dyDescent="0.55000000000000004">
      <c r="B71" s="11"/>
      <c r="D71" s="57" t="s">
        <v>227</v>
      </c>
      <c r="E71" s="57" t="s">
        <v>227</v>
      </c>
      <c r="F71" s="57" t="s">
        <v>227</v>
      </c>
      <c r="G71" s="57" t="s">
        <v>227</v>
      </c>
      <c r="H71" s="57" t="s">
        <v>227</v>
      </c>
      <c r="I71" s="57" t="s">
        <v>227</v>
      </c>
      <c r="J71" s="57" t="s">
        <v>227</v>
      </c>
    </row>
    <row r="72" spans="2:10" ht="14.1" x14ac:dyDescent="0.55000000000000004">
      <c r="B72" s="27" t="s">
        <v>278</v>
      </c>
      <c r="C72" s="20"/>
      <c r="D72" s="20">
        <f t="shared" ref="D72:J72" si="39">D46</f>
        <v>2026</v>
      </c>
      <c r="E72" s="20">
        <f t="shared" si="39"/>
        <v>2027</v>
      </c>
      <c r="F72" s="20">
        <f t="shared" si="39"/>
        <v>2028</v>
      </c>
      <c r="G72" s="20">
        <f t="shared" si="39"/>
        <v>2029</v>
      </c>
      <c r="H72" s="20">
        <f t="shared" si="39"/>
        <v>2030</v>
      </c>
      <c r="I72" s="20">
        <f t="shared" si="39"/>
        <v>2031</v>
      </c>
      <c r="J72" s="20">
        <f t="shared" si="39"/>
        <v>2032</v>
      </c>
    </row>
    <row r="73" spans="2:10" x14ac:dyDescent="0.55000000000000004">
      <c r="B73" s="11" t="s">
        <v>279</v>
      </c>
      <c r="D73" s="62">
        <f t="shared" ref="D73:J73" si="40">D38*(1-D12)</f>
        <v>136.71635288461539</v>
      </c>
      <c r="E73" s="62">
        <f t="shared" si="40"/>
        <v>166.18807381923077</v>
      </c>
      <c r="F73" s="62">
        <f t="shared" si="40"/>
        <v>210.18281018538457</v>
      </c>
      <c r="G73" s="62">
        <f t="shared" si="40"/>
        <v>247.89557663451916</v>
      </c>
      <c r="H73" s="62">
        <f t="shared" si="40"/>
        <v>272.68513429797105</v>
      </c>
      <c r="I73" s="62">
        <f t="shared" si="40"/>
        <v>286.31939101286963</v>
      </c>
      <c r="J73" s="62">
        <f t="shared" si="40"/>
        <v>297.77216665338449</v>
      </c>
    </row>
    <row r="74" spans="2:10" x14ac:dyDescent="0.55000000000000004">
      <c r="B74" s="11" t="s">
        <v>276</v>
      </c>
      <c r="D74" s="62">
        <f t="shared" ref="D74:J74" si="41">D67</f>
        <v>22.410670004807692</v>
      </c>
      <c r="E74" s="62">
        <f t="shared" si="41"/>
        <v>37.64992560807692</v>
      </c>
      <c r="F74" s="62">
        <f t="shared" si="41"/>
        <v>43.297414449288453</v>
      </c>
      <c r="G74" s="62">
        <f t="shared" si="41"/>
        <v>47.627155894217303</v>
      </c>
      <c r="H74" s="62">
        <f t="shared" si="41"/>
        <v>50.008513688928169</v>
      </c>
      <c r="I74" s="62">
        <f t="shared" si="41"/>
        <v>50.008513688928169</v>
      </c>
      <c r="J74" s="62">
        <f t="shared" si="41"/>
        <v>50.008513688928169</v>
      </c>
    </row>
    <row r="75" spans="2:10" x14ac:dyDescent="0.55000000000000004">
      <c r="B75" s="11" t="s">
        <v>147</v>
      </c>
      <c r="D75" s="62">
        <f t="shared" ref="D75:J75" si="42">-D66</f>
        <v>-28.013337506009613</v>
      </c>
      <c r="E75" s="62">
        <f t="shared" si="42"/>
        <v>-47.062407010096152</v>
      </c>
      <c r="F75" s="62">
        <f t="shared" si="42"/>
        <v>-54.121768061610567</v>
      </c>
      <c r="G75" s="62">
        <f t="shared" si="42"/>
        <v>-59.533944867771623</v>
      </c>
      <c r="H75" s="62">
        <f t="shared" si="42"/>
        <v>-62.510642111160209</v>
      </c>
      <c r="I75" s="62">
        <f t="shared" si="42"/>
        <v>-62.510642111160209</v>
      </c>
      <c r="J75" s="62">
        <f t="shared" si="42"/>
        <v>-62.510642111160209</v>
      </c>
    </row>
    <row r="76" spans="2:10" x14ac:dyDescent="0.55000000000000004">
      <c r="B76" s="11" t="s">
        <v>280</v>
      </c>
      <c r="D76" s="62"/>
      <c r="E76" s="62"/>
      <c r="F76" s="62"/>
      <c r="G76" s="62"/>
      <c r="H76" s="62"/>
      <c r="I76" s="62"/>
      <c r="J76" s="62"/>
    </row>
    <row r="77" spans="2:10" x14ac:dyDescent="0.55000000000000004">
      <c r="B77" s="11" t="s">
        <v>281</v>
      </c>
      <c r="D77" s="62">
        <f>C49-D49</f>
        <v>11.168442102435204</v>
      </c>
      <c r="E77" s="62">
        <f t="shared" ref="E77:J79" si="43">D49-E49</f>
        <v>-4.2912836846347169</v>
      </c>
      <c r="F77" s="62">
        <f t="shared" si="43"/>
        <v>-6.5799683164399028</v>
      </c>
      <c r="G77" s="62">
        <f t="shared" si="43"/>
        <v>-5.9219714847959111</v>
      </c>
      <c r="H77" s="62">
        <f t="shared" si="43"/>
        <v>-4.5401781383435278</v>
      </c>
      <c r="I77" s="62">
        <f t="shared" si="43"/>
        <v>-2.4970979760889449</v>
      </c>
      <c r="J77" s="62">
        <f t="shared" si="43"/>
        <v>-2.0975622999147134</v>
      </c>
    </row>
    <row r="78" spans="2:10" x14ac:dyDescent="0.55000000000000004">
      <c r="B78" s="11" t="s">
        <v>282</v>
      </c>
      <c r="D78" s="62">
        <f>C50-D50</f>
        <v>-0.11617102790717926</v>
      </c>
      <c r="E78" s="62">
        <f t="shared" si="43"/>
        <v>-0.60675378690234627</v>
      </c>
      <c r="F78" s="62">
        <f t="shared" si="43"/>
        <v>-0.96613872222142838</v>
      </c>
      <c r="G78" s="62">
        <f t="shared" si="43"/>
        <v>-0.92588294212886879</v>
      </c>
      <c r="H78" s="62">
        <f t="shared" si="43"/>
        <v>-0.83329464791598262</v>
      </c>
      <c r="I78" s="62">
        <f t="shared" si="43"/>
        <v>-0.45831205635379035</v>
      </c>
      <c r="J78" s="62">
        <f t="shared" si="43"/>
        <v>-0.3849821273371834</v>
      </c>
    </row>
    <row r="79" spans="2:10" x14ac:dyDescent="0.55000000000000004">
      <c r="B79" s="11" t="s">
        <v>283</v>
      </c>
      <c r="D79" s="62">
        <f>C51-D51</f>
        <v>-10.071494623060737</v>
      </c>
      <c r="E79" s="62">
        <f t="shared" si="43"/>
        <v>-8.6754741934591024</v>
      </c>
      <c r="F79" s="62">
        <f t="shared" si="43"/>
        <v>-13.302393763303968</v>
      </c>
      <c r="G79" s="62">
        <f t="shared" si="43"/>
        <v>-11.972154386973557</v>
      </c>
      <c r="H79" s="62">
        <f t="shared" si="43"/>
        <v>-9.1786516966797365</v>
      </c>
      <c r="I79" s="62">
        <f t="shared" si="43"/>
        <v>-5.0482584331738565</v>
      </c>
      <c r="J79" s="62">
        <f t="shared" si="43"/>
        <v>-4.2405370838660446</v>
      </c>
    </row>
    <row r="80" spans="2:10" x14ac:dyDescent="0.55000000000000004">
      <c r="B80" s="11" t="s">
        <v>284</v>
      </c>
      <c r="D80" s="62">
        <f>D56-C56</f>
        <v>-9.0961246499970301</v>
      </c>
      <c r="E80" s="62">
        <f t="shared" ref="E80:J81" si="44">E56-D56</f>
        <v>6.3194430364003082</v>
      </c>
      <c r="F80" s="62">
        <f t="shared" si="44"/>
        <v>10.062497757960486</v>
      </c>
      <c r="G80" s="62">
        <f t="shared" si="44"/>
        <v>9.6432270180454509</v>
      </c>
      <c r="H80" s="62">
        <f t="shared" si="44"/>
        <v>8.6789043162409456</v>
      </c>
      <c r="I80" s="62">
        <f t="shared" si="44"/>
        <v>4.7733973739325108</v>
      </c>
      <c r="J80" s="62">
        <f t="shared" si="44"/>
        <v>4.0096537941032864</v>
      </c>
    </row>
    <row r="81" spans="2:10" x14ac:dyDescent="0.55000000000000004">
      <c r="B81" s="44" t="s">
        <v>285</v>
      </c>
      <c r="C81" s="21"/>
      <c r="D81" s="63">
        <f>D57-C57</f>
        <v>-4.5771503832609284</v>
      </c>
      <c r="E81" s="63">
        <f t="shared" si="44"/>
        <v>7.3699443601408632</v>
      </c>
      <c r="F81" s="63">
        <f t="shared" si="44"/>
        <v>11.735219096531992</v>
      </c>
      <c r="G81" s="63">
        <f t="shared" si="44"/>
        <v>11.246251634176474</v>
      </c>
      <c r="H81" s="63">
        <f t="shared" si="44"/>
        <v>10.121626470758855</v>
      </c>
      <c r="I81" s="63">
        <f t="shared" si="44"/>
        <v>5.5668945589173688</v>
      </c>
      <c r="J81" s="63">
        <f t="shared" si="44"/>
        <v>4.6761914294905722</v>
      </c>
    </row>
    <row r="82" spans="2:10" ht="14.1" x14ac:dyDescent="0.55000000000000004">
      <c r="B82" s="12" t="s">
        <v>286</v>
      </c>
      <c r="C82" s="16"/>
      <c r="D82" s="64">
        <f t="shared" ref="D82:I82" si="45">SUM(D73:D81)</f>
        <v>118.4211868016228</v>
      </c>
      <c r="E82" s="64">
        <f t="shared" si="45"/>
        <v>156.89146814875656</v>
      </c>
      <c r="F82" s="64">
        <f t="shared" si="45"/>
        <v>200.30767262558965</v>
      </c>
      <c r="G82" s="64">
        <f t="shared" si="45"/>
        <v>238.05825749928843</v>
      </c>
      <c r="H82" s="64">
        <f t="shared" si="45"/>
        <v>264.43141217979962</v>
      </c>
      <c r="I82" s="64">
        <f t="shared" si="45"/>
        <v>276.15388605787098</v>
      </c>
      <c r="J82" s="64">
        <f t="shared" ref="J82" si="46">SUM(J73:J81)</f>
        <v>287.23280194362837</v>
      </c>
    </row>
    <row r="83" spans="2:10" ht="14.1" x14ac:dyDescent="0.55000000000000004">
      <c r="B83" s="44" t="s">
        <v>287</v>
      </c>
      <c r="C83" s="20"/>
      <c r="D83" s="68"/>
      <c r="E83" s="68"/>
      <c r="F83" s="68"/>
      <c r="G83" s="69"/>
      <c r="H83" s="69"/>
      <c r="I83" s="70"/>
      <c r="J83" s="70">
        <f>J82*(1+C30)/('cost of capital'!C22-'Valuation - new product'!C30)</f>
        <v>6476.1126241510801</v>
      </c>
    </row>
    <row r="84" spans="2:10" ht="14.1" x14ac:dyDescent="0.55000000000000004">
      <c r="B84" s="12" t="s">
        <v>288</v>
      </c>
      <c r="C84" s="16"/>
      <c r="D84" s="64">
        <f t="shared" ref="D84:J84" si="47">SUM(D82:D83)</f>
        <v>118.4211868016228</v>
      </c>
      <c r="E84" s="64">
        <f t="shared" si="47"/>
        <v>156.89146814875656</v>
      </c>
      <c r="F84" s="64">
        <f t="shared" si="47"/>
        <v>200.30767262558965</v>
      </c>
      <c r="G84" s="64">
        <f t="shared" si="47"/>
        <v>238.05825749928843</v>
      </c>
      <c r="H84" s="64">
        <f t="shared" si="47"/>
        <v>264.43141217979962</v>
      </c>
      <c r="I84" s="71">
        <f t="shared" si="47"/>
        <v>276.15388605787098</v>
      </c>
      <c r="J84" s="71">
        <f t="shared" si="47"/>
        <v>6763.3454260947083</v>
      </c>
    </row>
    <row r="85" spans="2:10" ht="14.4" thickBot="1" x14ac:dyDescent="0.6">
      <c r="B85" s="12"/>
      <c r="C85" s="16"/>
      <c r="D85" s="64"/>
      <c r="E85" s="64"/>
      <c r="F85" s="64"/>
      <c r="G85" s="64"/>
      <c r="H85" s="64"/>
      <c r="I85" s="64"/>
      <c r="J85" s="64"/>
    </row>
    <row r="86" spans="2:10" ht="14.1" x14ac:dyDescent="0.55000000000000004">
      <c r="B86" s="72" t="s">
        <v>289</v>
      </c>
      <c r="C86" s="73">
        <f>NPV('cost of capital'!C22,D84:J84)</f>
        <v>4852.4907896937239</v>
      </c>
      <c r="D86" s="16"/>
      <c r="E86" s="16"/>
      <c r="F86" s="16"/>
      <c r="G86" s="16"/>
      <c r="H86" s="16"/>
      <c r="I86" s="16"/>
      <c r="J86" s="16"/>
    </row>
    <row r="87" spans="2:10" x14ac:dyDescent="0.55000000000000004">
      <c r="B87" s="74" t="s">
        <v>290</v>
      </c>
      <c r="C87" s="75">
        <f>C47+C48</f>
        <v>132.42000000000002</v>
      </c>
    </row>
    <row r="88" spans="2:10" x14ac:dyDescent="0.55000000000000004">
      <c r="B88" s="76" t="s">
        <v>291</v>
      </c>
      <c r="C88" s="77">
        <f>-(C59+C58)</f>
        <v>-98.657000000000011</v>
      </c>
    </row>
    <row r="89" spans="2:10" ht="14.1" x14ac:dyDescent="0.55000000000000004">
      <c r="B89" s="78" t="s">
        <v>292</v>
      </c>
      <c r="C89" s="79">
        <f>SUM(C86:C88)</f>
        <v>4886.2537896937238</v>
      </c>
      <c r="E89" s="10" t="s">
        <v>293</v>
      </c>
    </row>
    <row r="90" spans="2:10" x14ac:dyDescent="0.55000000000000004">
      <c r="B90" s="74" t="s">
        <v>294</v>
      </c>
      <c r="C90" s="80">
        <f>'cost of capital'!C12</f>
        <v>14.8</v>
      </c>
    </row>
    <row r="91" spans="2:10" ht="14.4" thickBot="1" x14ac:dyDescent="0.6">
      <c r="B91" s="81" t="s">
        <v>217</v>
      </c>
      <c r="C91" s="82">
        <f>C89/C90</f>
        <v>330.15228308741376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5331-53F8-4EBF-A71C-65348451FBC7}">
  <dimension ref="B2:N91"/>
  <sheetViews>
    <sheetView workbookViewId="0"/>
  </sheetViews>
  <sheetFormatPr defaultColWidth="9.1015625" defaultRowHeight="13.8" x14ac:dyDescent="0.55000000000000004"/>
  <cols>
    <col min="1" max="1" width="4.83984375" style="10" customWidth="1"/>
    <col min="2" max="2" width="60.26171875" style="10" customWidth="1"/>
    <col min="3" max="10" width="12.68359375" style="10" customWidth="1"/>
    <col min="11" max="11" width="6.1015625" style="10" customWidth="1"/>
    <col min="12" max="16384" width="9.1015625" style="10"/>
  </cols>
  <sheetData>
    <row r="2" spans="2:14" ht="14.1" x14ac:dyDescent="0.55000000000000004">
      <c r="B2" s="18" t="s">
        <v>224</v>
      </c>
    </row>
    <row r="3" spans="2:14" ht="14.1" x14ac:dyDescent="0.55000000000000004">
      <c r="B3" s="18" t="s">
        <v>349</v>
      </c>
    </row>
    <row r="5" spans="2:14" ht="14.1" x14ac:dyDescent="0.55000000000000004">
      <c r="B5" s="16" t="s">
        <v>225</v>
      </c>
      <c r="C5" s="57" t="s">
        <v>226</v>
      </c>
      <c r="D5" s="57" t="s">
        <v>227</v>
      </c>
      <c r="E5" s="57" t="s">
        <v>227</v>
      </c>
      <c r="F5" s="57" t="s">
        <v>227</v>
      </c>
      <c r="G5" s="57" t="s">
        <v>227</v>
      </c>
      <c r="H5" s="57" t="s">
        <v>227</v>
      </c>
      <c r="I5" s="57" t="s">
        <v>227</v>
      </c>
      <c r="J5" s="57" t="s">
        <v>227</v>
      </c>
    </row>
    <row r="6" spans="2:14" ht="14.1" x14ac:dyDescent="0.55000000000000004">
      <c r="B6" s="20" t="s">
        <v>228</v>
      </c>
      <c r="C6" s="20">
        <v>2025</v>
      </c>
      <c r="D6" s="20">
        <v>2026</v>
      </c>
      <c r="E6" s="20">
        <v>2027</v>
      </c>
      <c r="F6" s="20">
        <v>2028</v>
      </c>
      <c r="G6" s="20">
        <v>2029</v>
      </c>
      <c r="H6" s="20">
        <v>2030</v>
      </c>
      <c r="I6" s="20">
        <v>2031</v>
      </c>
      <c r="J6" s="20">
        <v>2032</v>
      </c>
    </row>
    <row r="7" spans="2:14" x14ac:dyDescent="0.55000000000000004">
      <c r="B7" s="10" t="s">
        <v>116</v>
      </c>
      <c r="C7" s="22"/>
      <c r="D7" s="96">
        <f>'Revenue forecast'!D27</f>
        <v>0.17067307692307687</v>
      </c>
      <c r="E7" s="96">
        <v>0.1</v>
      </c>
      <c r="F7" s="96">
        <v>0.05</v>
      </c>
      <c r="G7" s="96">
        <v>0.04</v>
      </c>
      <c r="H7" s="96">
        <v>0.03</v>
      </c>
      <c r="I7" s="96">
        <v>0.03</v>
      </c>
      <c r="J7" s="96">
        <v>0.03</v>
      </c>
      <c r="K7" s="118"/>
      <c r="L7" s="118" t="s">
        <v>373</v>
      </c>
      <c r="M7" s="118"/>
      <c r="N7" s="118"/>
    </row>
    <row r="8" spans="2:14" x14ac:dyDescent="0.55000000000000004">
      <c r="B8" s="10" t="s">
        <v>230</v>
      </c>
      <c r="C8" s="22">
        <f>'IS common size'!V6</f>
        <v>0.53094835892839554</v>
      </c>
      <c r="D8" s="96">
        <v>0.51</v>
      </c>
      <c r="E8" s="96">
        <v>0.52</v>
      </c>
      <c r="F8" s="96">
        <v>0.55000000000000004</v>
      </c>
      <c r="G8" s="96">
        <v>0.6</v>
      </c>
      <c r="H8" s="96">
        <f t="shared" ref="H8:J8" si="0">G8</f>
        <v>0.6</v>
      </c>
      <c r="I8" s="96">
        <f t="shared" si="0"/>
        <v>0.6</v>
      </c>
      <c r="J8" s="96">
        <f t="shared" si="0"/>
        <v>0.6</v>
      </c>
      <c r="K8" s="118"/>
      <c r="L8" s="118" t="s">
        <v>374</v>
      </c>
      <c r="M8" s="118"/>
      <c r="N8" s="118"/>
    </row>
    <row r="9" spans="2:14" x14ac:dyDescent="0.55000000000000004">
      <c r="B9" s="10" t="s">
        <v>232</v>
      </c>
      <c r="C9" s="22">
        <f>'IS common size'!V8</f>
        <v>0.14922109472055287</v>
      </c>
      <c r="D9" s="22">
        <f>C9</f>
        <v>0.14922109472055287</v>
      </c>
      <c r="E9" s="22">
        <f t="shared" ref="E9:J12" si="1">D9</f>
        <v>0.14922109472055287</v>
      </c>
      <c r="F9" s="22">
        <f t="shared" si="1"/>
        <v>0.14922109472055287</v>
      </c>
      <c r="G9" s="22">
        <f t="shared" si="1"/>
        <v>0.14922109472055287</v>
      </c>
      <c r="H9" s="22">
        <f t="shared" si="1"/>
        <v>0.14922109472055287</v>
      </c>
      <c r="I9" s="22">
        <f t="shared" si="1"/>
        <v>0.14922109472055287</v>
      </c>
      <c r="J9" s="22">
        <f t="shared" si="1"/>
        <v>0.14922109472055287</v>
      </c>
      <c r="L9" s="10" t="s">
        <v>233</v>
      </c>
    </row>
    <row r="10" spans="2:14" x14ac:dyDescent="0.55000000000000004">
      <c r="B10" s="10" t="s">
        <v>234</v>
      </c>
      <c r="C10" s="22">
        <v>0.03</v>
      </c>
      <c r="D10" s="22">
        <f t="shared" ref="D10:D12" si="2">C10</f>
        <v>0.03</v>
      </c>
      <c r="E10" s="22">
        <v>0.04</v>
      </c>
      <c r="F10" s="22">
        <f t="shared" si="1"/>
        <v>0.04</v>
      </c>
      <c r="G10" s="22">
        <f t="shared" si="1"/>
        <v>0.04</v>
      </c>
      <c r="H10" s="22">
        <f t="shared" si="1"/>
        <v>0.04</v>
      </c>
      <c r="I10" s="22">
        <f t="shared" si="1"/>
        <v>0.04</v>
      </c>
      <c r="J10" s="22">
        <f t="shared" si="1"/>
        <v>0.04</v>
      </c>
      <c r="L10" s="10" t="s">
        <v>235</v>
      </c>
    </row>
    <row r="11" spans="2:14" x14ac:dyDescent="0.55000000000000004">
      <c r="B11" s="10" t="s">
        <v>143</v>
      </c>
      <c r="C11" s="22">
        <v>0.05</v>
      </c>
      <c r="D11" s="22">
        <f t="shared" si="2"/>
        <v>0.05</v>
      </c>
      <c r="E11" s="22">
        <v>0.05</v>
      </c>
      <c r="F11" s="22">
        <f t="shared" si="1"/>
        <v>0.05</v>
      </c>
      <c r="G11" s="22">
        <f t="shared" si="1"/>
        <v>0.05</v>
      </c>
      <c r="H11" s="22">
        <f t="shared" si="1"/>
        <v>0.05</v>
      </c>
      <c r="I11" s="22">
        <f t="shared" si="1"/>
        <v>0.05</v>
      </c>
      <c r="J11" s="22">
        <f t="shared" si="1"/>
        <v>0.05</v>
      </c>
      <c r="L11" s="10" t="s">
        <v>235</v>
      </c>
    </row>
    <row r="12" spans="2:14" x14ac:dyDescent="0.55000000000000004">
      <c r="B12" s="10" t="s">
        <v>236</v>
      </c>
      <c r="C12" s="22">
        <v>0.2</v>
      </c>
      <c r="D12" s="22">
        <f t="shared" si="2"/>
        <v>0.2</v>
      </c>
      <c r="E12" s="22">
        <f t="shared" si="1"/>
        <v>0.2</v>
      </c>
      <c r="F12" s="22">
        <f t="shared" si="1"/>
        <v>0.2</v>
      </c>
      <c r="G12" s="22">
        <f t="shared" si="1"/>
        <v>0.2</v>
      </c>
      <c r="H12" s="22">
        <f t="shared" si="1"/>
        <v>0.2</v>
      </c>
      <c r="I12" s="22">
        <f t="shared" si="1"/>
        <v>0.2</v>
      </c>
      <c r="J12" s="22">
        <f t="shared" si="1"/>
        <v>0.2</v>
      </c>
      <c r="L12" s="10" t="s">
        <v>237</v>
      </c>
    </row>
    <row r="13" spans="2:14" ht="14.1" x14ac:dyDescent="0.55000000000000004">
      <c r="B13" s="20" t="s">
        <v>238</v>
      </c>
      <c r="C13" s="58"/>
      <c r="D13" s="20"/>
      <c r="E13" s="20"/>
      <c r="F13" s="20"/>
      <c r="G13" s="20"/>
      <c r="H13" s="20"/>
      <c r="I13" s="20"/>
      <c r="J13" s="20"/>
    </row>
    <row r="14" spans="2:14" x14ac:dyDescent="0.55000000000000004">
      <c r="B14" s="10" t="s">
        <v>239</v>
      </c>
      <c r="C14" s="13">
        <f>C47</f>
        <v>35.933999999999997</v>
      </c>
      <c r="D14" s="13">
        <f t="shared" ref="D14:J23" si="3">C14</f>
        <v>35.933999999999997</v>
      </c>
      <c r="E14" s="13">
        <f t="shared" si="3"/>
        <v>35.933999999999997</v>
      </c>
      <c r="F14" s="13">
        <f t="shared" si="3"/>
        <v>35.933999999999997</v>
      </c>
      <c r="G14" s="13">
        <f t="shared" si="3"/>
        <v>35.933999999999997</v>
      </c>
      <c r="H14" s="13">
        <f t="shared" si="3"/>
        <v>35.933999999999997</v>
      </c>
      <c r="I14" s="13">
        <f t="shared" si="3"/>
        <v>35.933999999999997</v>
      </c>
      <c r="J14" s="13">
        <f t="shared" si="3"/>
        <v>35.933999999999997</v>
      </c>
      <c r="L14" s="10" t="s">
        <v>233</v>
      </c>
    </row>
    <row r="15" spans="2:14" x14ac:dyDescent="0.55000000000000004">
      <c r="B15" s="10" t="s">
        <v>240</v>
      </c>
      <c r="C15" s="13">
        <f>C58</f>
        <v>20.329000000000001</v>
      </c>
      <c r="D15" s="13">
        <f t="shared" si="3"/>
        <v>20.329000000000001</v>
      </c>
      <c r="E15" s="13">
        <f t="shared" si="3"/>
        <v>20.329000000000001</v>
      </c>
      <c r="F15" s="13">
        <f t="shared" si="3"/>
        <v>20.329000000000001</v>
      </c>
      <c r="G15" s="13">
        <f t="shared" si="3"/>
        <v>20.329000000000001</v>
      </c>
      <c r="H15" s="13">
        <f t="shared" si="3"/>
        <v>20.329000000000001</v>
      </c>
      <c r="I15" s="13">
        <f t="shared" si="3"/>
        <v>20.329000000000001</v>
      </c>
      <c r="J15" s="13">
        <f t="shared" si="3"/>
        <v>20.329000000000001</v>
      </c>
      <c r="L15" s="10" t="s">
        <v>233</v>
      </c>
    </row>
    <row r="16" spans="2:14" x14ac:dyDescent="0.55000000000000004">
      <c r="B16" s="10" t="s">
        <v>241</v>
      </c>
      <c r="C16" s="13">
        <f>C59</f>
        <v>78.328000000000003</v>
      </c>
      <c r="D16" s="13">
        <f t="shared" si="3"/>
        <v>78.328000000000003</v>
      </c>
      <c r="E16" s="13">
        <f t="shared" si="3"/>
        <v>78.328000000000003</v>
      </c>
      <c r="F16" s="13">
        <f t="shared" si="3"/>
        <v>78.328000000000003</v>
      </c>
      <c r="G16" s="13">
        <f t="shared" si="3"/>
        <v>78.328000000000003</v>
      </c>
      <c r="H16" s="13">
        <f t="shared" si="3"/>
        <v>78.328000000000003</v>
      </c>
      <c r="I16" s="13">
        <f t="shared" si="3"/>
        <v>78.328000000000003</v>
      </c>
      <c r="J16" s="13">
        <f t="shared" si="3"/>
        <v>78.328000000000003</v>
      </c>
      <c r="L16" s="10" t="s">
        <v>233</v>
      </c>
    </row>
    <row r="17" spans="2:12" x14ac:dyDescent="0.55000000000000004">
      <c r="B17" s="10" t="s">
        <v>242</v>
      </c>
      <c r="C17" s="22">
        <v>5.8721745624100694E-2</v>
      </c>
      <c r="D17" s="22">
        <f t="shared" si="3"/>
        <v>5.8721745624100694E-2</v>
      </c>
      <c r="E17" s="22">
        <f t="shared" si="3"/>
        <v>5.8721745624100694E-2</v>
      </c>
      <c r="F17" s="22">
        <f t="shared" si="3"/>
        <v>5.8721745624100694E-2</v>
      </c>
      <c r="G17" s="22">
        <f t="shared" si="3"/>
        <v>5.8721745624100694E-2</v>
      </c>
      <c r="H17" s="22">
        <f t="shared" si="3"/>
        <v>5.8721745624100694E-2</v>
      </c>
      <c r="I17" s="22">
        <f t="shared" si="3"/>
        <v>5.8721745624100694E-2</v>
      </c>
      <c r="J17" s="22">
        <f t="shared" si="3"/>
        <v>5.8721745624100694E-2</v>
      </c>
      <c r="L17" s="10" t="s">
        <v>233</v>
      </c>
    </row>
    <row r="18" spans="2:12" x14ac:dyDescent="0.55000000000000004">
      <c r="B18" s="10" t="s">
        <v>206</v>
      </c>
      <c r="C18" s="22">
        <v>2.3950365359550363E-2</v>
      </c>
      <c r="D18" s="22">
        <f t="shared" si="3"/>
        <v>2.3950365359550363E-2</v>
      </c>
      <c r="E18" s="22">
        <f t="shared" si="3"/>
        <v>2.3950365359550363E-2</v>
      </c>
      <c r="F18" s="22">
        <f t="shared" si="3"/>
        <v>2.3950365359550363E-2</v>
      </c>
      <c r="G18" s="22">
        <f t="shared" si="3"/>
        <v>2.3950365359550363E-2</v>
      </c>
      <c r="H18" s="22">
        <f t="shared" si="3"/>
        <v>2.3950365359550363E-2</v>
      </c>
      <c r="I18" s="22">
        <f t="shared" si="3"/>
        <v>2.3950365359550363E-2</v>
      </c>
      <c r="J18" s="22">
        <f t="shared" si="3"/>
        <v>2.3950365359550363E-2</v>
      </c>
      <c r="L18" s="10" t="s">
        <v>233</v>
      </c>
    </row>
    <row r="19" spans="2:12" x14ac:dyDescent="0.55000000000000004">
      <c r="B19" s="10" t="s">
        <v>243</v>
      </c>
      <c r="C19" s="13">
        <f>C53</f>
        <v>83.727000000000004</v>
      </c>
      <c r="D19" s="13">
        <f t="shared" si="3"/>
        <v>83.727000000000004</v>
      </c>
      <c r="E19" s="13">
        <f t="shared" si="3"/>
        <v>83.727000000000004</v>
      </c>
      <c r="F19" s="13">
        <f t="shared" si="3"/>
        <v>83.727000000000004</v>
      </c>
      <c r="G19" s="13">
        <f t="shared" si="3"/>
        <v>83.727000000000004</v>
      </c>
      <c r="H19" s="13">
        <f t="shared" si="3"/>
        <v>83.727000000000004</v>
      </c>
      <c r="I19" s="13">
        <f t="shared" si="3"/>
        <v>83.727000000000004</v>
      </c>
      <c r="J19" s="13">
        <f t="shared" si="3"/>
        <v>83.727000000000004</v>
      </c>
      <c r="L19" s="10" t="s">
        <v>233</v>
      </c>
    </row>
    <row r="20" spans="2:12" x14ac:dyDescent="0.55000000000000004">
      <c r="B20" s="10" t="s">
        <v>207</v>
      </c>
      <c r="C20" s="22">
        <v>0.11871482432653953</v>
      </c>
      <c r="D20" s="22">
        <f t="shared" si="3"/>
        <v>0.11871482432653953</v>
      </c>
      <c r="E20" s="22">
        <f t="shared" si="3"/>
        <v>0.11871482432653953</v>
      </c>
      <c r="F20" s="22">
        <f t="shared" si="3"/>
        <v>0.11871482432653953</v>
      </c>
      <c r="G20" s="22">
        <f t="shared" si="3"/>
        <v>0.11871482432653953</v>
      </c>
      <c r="H20" s="22">
        <f t="shared" si="3"/>
        <v>0.11871482432653953</v>
      </c>
      <c r="I20" s="22">
        <f t="shared" si="3"/>
        <v>0.11871482432653953</v>
      </c>
      <c r="J20" s="22">
        <f t="shared" si="3"/>
        <v>0.11871482432653953</v>
      </c>
      <c r="L20" s="10" t="s">
        <v>233</v>
      </c>
    </row>
    <row r="21" spans="2:12" x14ac:dyDescent="0.55000000000000004">
      <c r="B21" s="10" t="s">
        <v>208</v>
      </c>
      <c r="C21" s="22">
        <v>0.24944709511143615</v>
      </c>
      <c r="D21" s="22">
        <f t="shared" si="3"/>
        <v>0.24944709511143615</v>
      </c>
      <c r="E21" s="22">
        <f t="shared" si="3"/>
        <v>0.24944709511143615</v>
      </c>
      <c r="F21" s="22">
        <f t="shared" si="3"/>
        <v>0.24944709511143615</v>
      </c>
      <c r="G21" s="22">
        <f t="shared" si="3"/>
        <v>0.24944709511143615</v>
      </c>
      <c r="H21" s="22">
        <f t="shared" si="3"/>
        <v>0.24944709511143615</v>
      </c>
      <c r="I21" s="22">
        <f t="shared" si="3"/>
        <v>0.24944709511143615</v>
      </c>
      <c r="J21" s="22">
        <f t="shared" si="3"/>
        <v>0.24944709511143615</v>
      </c>
      <c r="L21" s="10" t="s">
        <v>233</v>
      </c>
    </row>
    <row r="22" spans="2:12" x14ac:dyDescent="0.55000000000000004">
      <c r="B22" s="10" t="s">
        <v>209</v>
      </c>
      <c r="C22" s="22">
        <v>0.29091348734068967</v>
      </c>
      <c r="D22" s="22">
        <f t="shared" si="3"/>
        <v>0.29091348734068967</v>
      </c>
      <c r="E22" s="22">
        <f t="shared" si="3"/>
        <v>0.29091348734068967</v>
      </c>
      <c r="F22" s="22">
        <f t="shared" si="3"/>
        <v>0.29091348734068967</v>
      </c>
      <c r="G22" s="22">
        <f t="shared" si="3"/>
        <v>0.29091348734068967</v>
      </c>
      <c r="H22" s="22">
        <f t="shared" si="3"/>
        <v>0.29091348734068967</v>
      </c>
      <c r="I22" s="22">
        <f t="shared" si="3"/>
        <v>0.29091348734068967</v>
      </c>
      <c r="J22" s="22">
        <f t="shared" si="3"/>
        <v>0.29091348734068967</v>
      </c>
      <c r="L22" s="10" t="s">
        <v>233</v>
      </c>
    </row>
    <row r="23" spans="2:12" x14ac:dyDescent="0.55000000000000004">
      <c r="B23" s="10" t="s">
        <v>244</v>
      </c>
      <c r="C23" s="13">
        <f>C60</f>
        <v>41.548999999999999</v>
      </c>
      <c r="D23" s="13">
        <f t="shared" si="3"/>
        <v>41.548999999999999</v>
      </c>
      <c r="E23" s="13">
        <f t="shared" si="3"/>
        <v>41.548999999999999</v>
      </c>
      <c r="F23" s="13">
        <f t="shared" si="3"/>
        <v>41.548999999999999</v>
      </c>
      <c r="G23" s="13">
        <f t="shared" si="3"/>
        <v>41.548999999999999</v>
      </c>
      <c r="H23" s="13">
        <f t="shared" si="3"/>
        <v>41.548999999999999</v>
      </c>
      <c r="I23" s="13">
        <f t="shared" si="3"/>
        <v>41.548999999999999</v>
      </c>
      <c r="J23" s="13">
        <f t="shared" si="3"/>
        <v>41.548999999999999</v>
      </c>
      <c r="L23" s="10" t="s">
        <v>233</v>
      </c>
    </row>
    <row r="24" spans="2:12" ht="14.1" x14ac:dyDescent="0.55000000000000004">
      <c r="B24" s="20" t="s">
        <v>245</v>
      </c>
      <c r="C24" s="58"/>
      <c r="D24" s="20"/>
      <c r="E24" s="20"/>
      <c r="F24" s="20"/>
      <c r="G24" s="20"/>
      <c r="H24" s="20"/>
      <c r="I24" s="20"/>
      <c r="J24" s="20"/>
    </row>
    <row r="25" spans="2:12" x14ac:dyDescent="0.55000000000000004">
      <c r="B25" s="10" t="s">
        <v>246</v>
      </c>
      <c r="C25" s="59">
        <v>0.05</v>
      </c>
      <c r="D25" s="59">
        <f>C25</f>
        <v>0.05</v>
      </c>
      <c r="E25" s="59">
        <f t="shared" ref="E25:J26" si="4">D25</f>
        <v>0.05</v>
      </c>
      <c r="F25" s="59">
        <f t="shared" si="4"/>
        <v>0.05</v>
      </c>
      <c r="G25" s="59">
        <f t="shared" si="4"/>
        <v>0.05</v>
      </c>
      <c r="H25" s="59">
        <f t="shared" si="4"/>
        <v>0.05</v>
      </c>
      <c r="I25" s="59">
        <f t="shared" si="4"/>
        <v>0.05</v>
      </c>
      <c r="J25" s="59">
        <f t="shared" si="4"/>
        <v>0.05</v>
      </c>
    </row>
    <row r="26" spans="2:12" x14ac:dyDescent="0.55000000000000004">
      <c r="B26" s="10" t="s">
        <v>366</v>
      </c>
      <c r="C26" s="60">
        <v>0.8</v>
      </c>
      <c r="D26" s="60">
        <v>0.8</v>
      </c>
      <c r="E26" s="60">
        <f>D26</f>
        <v>0.8</v>
      </c>
      <c r="F26" s="60">
        <f t="shared" si="4"/>
        <v>0.8</v>
      </c>
      <c r="G26" s="60">
        <f t="shared" si="4"/>
        <v>0.8</v>
      </c>
      <c r="H26" s="60">
        <f t="shared" si="4"/>
        <v>0.8</v>
      </c>
      <c r="I26" s="60">
        <f t="shared" si="4"/>
        <v>0.8</v>
      </c>
      <c r="J26" s="60">
        <f t="shared" si="4"/>
        <v>0.8</v>
      </c>
    </row>
    <row r="27" spans="2:12" x14ac:dyDescent="0.55000000000000004">
      <c r="B27" s="10" t="s">
        <v>248</v>
      </c>
      <c r="C27" s="13"/>
      <c r="D27" s="13">
        <v>20</v>
      </c>
      <c r="E27" s="13">
        <v>20</v>
      </c>
      <c r="F27" s="13">
        <v>10</v>
      </c>
      <c r="G27" s="13">
        <v>10</v>
      </c>
      <c r="H27" s="13"/>
      <c r="I27" s="13"/>
      <c r="J27" s="13"/>
      <c r="L27" s="10" t="s">
        <v>249</v>
      </c>
    </row>
    <row r="28" spans="2:12" x14ac:dyDescent="0.55000000000000004">
      <c r="B28" s="10" t="s">
        <v>250</v>
      </c>
      <c r="C28" s="61">
        <v>0.03</v>
      </c>
      <c r="D28" s="61">
        <v>0.05</v>
      </c>
      <c r="E28" s="61">
        <v>7.0000000000000007E-2</v>
      </c>
      <c r="F28" s="61">
        <f t="shared" ref="E28:J29" si="5">E28</f>
        <v>7.0000000000000007E-2</v>
      </c>
      <c r="G28" s="61">
        <f t="shared" si="5"/>
        <v>7.0000000000000007E-2</v>
      </c>
      <c r="H28" s="61">
        <f t="shared" si="5"/>
        <v>7.0000000000000007E-2</v>
      </c>
      <c r="I28" s="61">
        <f t="shared" si="5"/>
        <v>7.0000000000000007E-2</v>
      </c>
      <c r="J28" s="61">
        <f t="shared" si="5"/>
        <v>7.0000000000000007E-2</v>
      </c>
      <c r="L28" s="10" t="s">
        <v>365</v>
      </c>
    </row>
    <row r="29" spans="2:12" x14ac:dyDescent="0.55000000000000004">
      <c r="B29" s="10" t="s">
        <v>252</v>
      </c>
      <c r="C29" s="61">
        <v>0.8</v>
      </c>
      <c r="D29" s="61">
        <f>C29</f>
        <v>0.8</v>
      </c>
      <c r="E29" s="61">
        <f t="shared" si="5"/>
        <v>0.8</v>
      </c>
      <c r="F29" s="61">
        <f t="shared" si="5"/>
        <v>0.8</v>
      </c>
      <c r="G29" s="61">
        <f t="shared" si="5"/>
        <v>0.8</v>
      </c>
      <c r="H29" s="61">
        <f t="shared" si="5"/>
        <v>0.8</v>
      </c>
      <c r="I29" s="61">
        <f t="shared" si="5"/>
        <v>0.8</v>
      </c>
      <c r="J29" s="61">
        <f t="shared" si="5"/>
        <v>0.8</v>
      </c>
      <c r="L29" s="10" t="s">
        <v>253</v>
      </c>
    </row>
    <row r="30" spans="2:12" x14ac:dyDescent="0.55000000000000004">
      <c r="B30" s="10" t="s">
        <v>254</v>
      </c>
      <c r="C30" s="61">
        <v>3.5000000000000003E-2</v>
      </c>
      <c r="D30" s="61"/>
      <c r="E30" s="61"/>
      <c r="F30" s="61"/>
      <c r="G30" s="61"/>
      <c r="H30" s="61"/>
      <c r="I30" s="61"/>
      <c r="J30" s="61"/>
    </row>
    <row r="32" spans="2:12" ht="14.1" x14ac:dyDescent="0.55000000000000004">
      <c r="B32" s="16"/>
      <c r="C32" s="16" t="s">
        <v>255</v>
      </c>
      <c r="D32" s="16" t="s">
        <v>227</v>
      </c>
      <c r="E32" s="16" t="s">
        <v>227</v>
      </c>
      <c r="F32" s="16" t="s">
        <v>227</v>
      </c>
      <c r="G32" s="16" t="s">
        <v>227</v>
      </c>
      <c r="H32" s="16" t="s">
        <v>227</v>
      </c>
      <c r="I32" s="16" t="s">
        <v>227</v>
      </c>
      <c r="J32" s="16" t="s">
        <v>227</v>
      </c>
    </row>
    <row r="33" spans="2:12" ht="14.1" x14ac:dyDescent="0.55000000000000004">
      <c r="B33" s="20" t="s">
        <v>256</v>
      </c>
      <c r="C33" s="20">
        <f>C6</f>
        <v>2025</v>
      </c>
      <c r="D33" s="20">
        <f t="shared" ref="D33:J33" si="6">D6</f>
        <v>2026</v>
      </c>
      <c r="E33" s="20">
        <f t="shared" si="6"/>
        <v>2027</v>
      </c>
      <c r="F33" s="20">
        <f t="shared" si="6"/>
        <v>2028</v>
      </c>
      <c r="G33" s="20">
        <f t="shared" si="6"/>
        <v>2029</v>
      </c>
      <c r="H33" s="20">
        <f t="shared" si="6"/>
        <v>2030</v>
      </c>
      <c r="I33" s="20">
        <f t="shared" si="6"/>
        <v>2031</v>
      </c>
      <c r="J33" s="20">
        <f t="shared" si="6"/>
        <v>2032</v>
      </c>
    </row>
    <row r="34" spans="2:12" x14ac:dyDescent="0.55000000000000004">
      <c r="B34" s="11" t="s">
        <v>11</v>
      </c>
      <c r="C34" s="11">
        <f>IS!V4</f>
        <v>416.161</v>
      </c>
      <c r="D34" s="62">
        <f>C34*(1+D7)</f>
        <v>487.18847836538458</v>
      </c>
      <c r="E34" s="62">
        <f t="shared" ref="E34:J34" si="7">D34*(1+E7)</f>
        <v>535.90732620192307</v>
      </c>
      <c r="F34" s="62">
        <f t="shared" si="7"/>
        <v>562.70269251201921</v>
      </c>
      <c r="G34" s="62">
        <f t="shared" si="7"/>
        <v>585.21080021249998</v>
      </c>
      <c r="H34" s="62">
        <f t="shared" si="7"/>
        <v>602.76712421887498</v>
      </c>
      <c r="I34" s="62">
        <f t="shared" si="7"/>
        <v>620.85013794544125</v>
      </c>
      <c r="J34" s="62">
        <f t="shared" si="7"/>
        <v>639.47564208380447</v>
      </c>
      <c r="L34" s="10" t="s">
        <v>257</v>
      </c>
    </row>
    <row r="35" spans="2:12" x14ac:dyDescent="0.55000000000000004">
      <c r="B35" s="11" t="s">
        <v>12</v>
      </c>
      <c r="C35" s="11">
        <f>IS!V5</f>
        <v>-220.96</v>
      </c>
      <c r="D35" s="62">
        <f t="shared" ref="D35:J35" si="8">-D34*D8</f>
        <v>-248.46612396634615</v>
      </c>
      <c r="E35" s="62">
        <f t="shared" si="8"/>
        <v>-278.67180962499998</v>
      </c>
      <c r="F35" s="62">
        <f t="shared" si="8"/>
        <v>-309.48648088161059</v>
      </c>
      <c r="G35" s="62">
        <f t="shared" si="8"/>
        <v>-351.12648012749997</v>
      </c>
      <c r="H35" s="62">
        <f t="shared" si="8"/>
        <v>-361.660274531325</v>
      </c>
      <c r="I35" s="62">
        <f t="shared" si="8"/>
        <v>-372.51008276726475</v>
      </c>
      <c r="J35" s="62">
        <f t="shared" si="8"/>
        <v>-383.68538525028265</v>
      </c>
    </row>
    <row r="36" spans="2:12" x14ac:dyDescent="0.55000000000000004">
      <c r="B36" s="11" t="s">
        <v>13</v>
      </c>
      <c r="C36" s="62">
        <f>SUM(C34:C35)</f>
        <v>195.20099999999999</v>
      </c>
      <c r="D36" s="62">
        <f t="shared" ref="D36:J36" si="9">SUM(D34:D35)</f>
        <v>238.72235439903844</v>
      </c>
      <c r="E36" s="62">
        <f t="shared" si="9"/>
        <v>257.23551657692309</v>
      </c>
      <c r="F36" s="62">
        <f t="shared" si="9"/>
        <v>253.21621163040862</v>
      </c>
      <c r="G36" s="62">
        <f t="shared" si="9"/>
        <v>234.084320085</v>
      </c>
      <c r="H36" s="62">
        <f t="shared" si="9"/>
        <v>241.10684968754998</v>
      </c>
      <c r="I36" s="62">
        <f t="shared" si="9"/>
        <v>248.3400551781765</v>
      </c>
      <c r="J36" s="62">
        <f t="shared" si="9"/>
        <v>255.79025683352182</v>
      </c>
    </row>
    <row r="37" spans="2:12" x14ac:dyDescent="0.55000000000000004">
      <c r="B37" s="44" t="s">
        <v>14</v>
      </c>
      <c r="C37" s="63">
        <f>IS!V7</f>
        <v>-62.1</v>
      </c>
      <c r="D37" s="63">
        <f t="shared" ref="D37:J37" si="10">-D34*D9</f>
        <v>-72.698798076923069</v>
      </c>
      <c r="E37" s="63">
        <f t="shared" si="10"/>
        <v>-79.968677884615389</v>
      </c>
      <c r="F37" s="63">
        <f t="shared" si="10"/>
        <v>-83.967111778846146</v>
      </c>
      <c r="G37" s="63">
        <f t="shared" si="10"/>
        <v>-87.325796249999996</v>
      </c>
      <c r="H37" s="63">
        <f t="shared" si="10"/>
        <v>-89.945570137499999</v>
      </c>
      <c r="I37" s="63">
        <f t="shared" si="10"/>
        <v>-92.643937241624997</v>
      </c>
      <c r="J37" s="63">
        <f t="shared" si="10"/>
        <v>-95.423255358873746</v>
      </c>
    </row>
    <row r="38" spans="2:12" ht="14.1" x14ac:dyDescent="0.55000000000000004">
      <c r="B38" s="12" t="s">
        <v>17</v>
      </c>
      <c r="C38" s="64">
        <f>SUM(C36:C37)</f>
        <v>133.101</v>
      </c>
      <c r="D38" s="64">
        <f t="shared" ref="D38:J38" si="11">SUM(D36:D37)</f>
        <v>166.02355632211538</v>
      </c>
      <c r="E38" s="64">
        <f t="shared" si="11"/>
        <v>177.26683869230772</v>
      </c>
      <c r="F38" s="64">
        <f t="shared" si="11"/>
        <v>169.24909985156248</v>
      </c>
      <c r="G38" s="64">
        <f t="shared" si="11"/>
        <v>146.75852383500001</v>
      </c>
      <c r="H38" s="64">
        <f t="shared" si="11"/>
        <v>151.16127955004998</v>
      </c>
      <c r="I38" s="64">
        <f t="shared" si="11"/>
        <v>155.6961179365515</v>
      </c>
      <c r="J38" s="64">
        <f t="shared" si="11"/>
        <v>160.36700147464808</v>
      </c>
    </row>
    <row r="39" spans="2:12" x14ac:dyDescent="0.55000000000000004">
      <c r="B39" s="11" t="s">
        <v>234</v>
      </c>
      <c r="C39" s="62"/>
      <c r="D39" s="62">
        <f>D10*C48</f>
        <v>2.8945799999999999</v>
      </c>
      <c r="E39" s="62">
        <f>E10*D48</f>
        <v>2.8575186018602099</v>
      </c>
      <c r="F39" s="62">
        <f t="shared" ref="F39:I39" si="12">F10*E48</f>
        <v>2.4802915181902758</v>
      </c>
      <c r="G39" s="62">
        <f t="shared" si="12"/>
        <v>2.5718376622228196</v>
      </c>
      <c r="H39" s="62">
        <f t="shared" si="12"/>
        <v>2.7295107811965411</v>
      </c>
      <c r="I39" s="62">
        <f t="shared" si="12"/>
        <v>2.662381590257255</v>
      </c>
      <c r="J39" s="62">
        <f>J10*I48</f>
        <v>2.5883468414652682</v>
      </c>
    </row>
    <row r="40" spans="2:12" x14ac:dyDescent="0.55000000000000004">
      <c r="B40" s="11" t="s">
        <v>143</v>
      </c>
      <c r="C40" s="62"/>
      <c r="D40" s="62">
        <f>-D11*(C58+C59)</f>
        <v>-4.9328500000000011</v>
      </c>
      <c r="E40" s="62">
        <f>-E11*(D58+D59)</f>
        <v>-4.9328500000000011</v>
      </c>
      <c r="F40" s="62">
        <f t="shared" ref="F40:J40" si="13">-F11*(E58+E59)</f>
        <v>-4.9328500000000011</v>
      </c>
      <c r="G40" s="62">
        <f t="shared" si="13"/>
        <v>-4.9328500000000011</v>
      </c>
      <c r="H40" s="62">
        <f t="shared" si="13"/>
        <v>-4.9328500000000011</v>
      </c>
      <c r="I40" s="62">
        <f t="shared" si="13"/>
        <v>-4.9328500000000011</v>
      </c>
      <c r="J40" s="62">
        <f t="shared" si="13"/>
        <v>-4.9328500000000011</v>
      </c>
    </row>
    <row r="41" spans="2:12" x14ac:dyDescent="0.55000000000000004">
      <c r="B41" s="11" t="s">
        <v>19</v>
      </c>
      <c r="C41" s="62">
        <f>IS!V12</f>
        <v>132.72900000000001</v>
      </c>
      <c r="D41" s="62">
        <f t="shared" ref="D41:I41" si="14">SUM(D38:D40)</f>
        <v>163.98528632211537</v>
      </c>
      <c r="E41" s="62">
        <f t="shared" ref="E41" si="15">SUM(E38:E40)</f>
        <v>175.19150729416793</v>
      </c>
      <c r="F41" s="62">
        <f t="shared" si="14"/>
        <v>166.79654136975276</v>
      </c>
      <c r="G41" s="62">
        <f t="shared" si="14"/>
        <v>144.39751149722284</v>
      </c>
      <c r="H41" s="62">
        <f t="shared" si="14"/>
        <v>148.95794033124653</v>
      </c>
      <c r="I41" s="62">
        <f t="shared" si="14"/>
        <v>153.42564952680877</v>
      </c>
      <c r="J41" s="62">
        <f t="shared" ref="J41" si="16">SUM(J38:J40)</f>
        <v>158.02249831611334</v>
      </c>
    </row>
    <row r="42" spans="2:12" x14ac:dyDescent="0.55000000000000004">
      <c r="B42" s="44" t="s">
        <v>20</v>
      </c>
      <c r="C42" s="63">
        <f>IS!V13</f>
        <v>-20.719000000000001</v>
      </c>
      <c r="D42" s="63">
        <f t="shared" ref="D42:J42" si="17">-D41*D12</f>
        <v>-32.797057264423074</v>
      </c>
      <c r="E42" s="63">
        <f t="shared" si="17"/>
        <v>-35.038301458833587</v>
      </c>
      <c r="F42" s="63">
        <f t="shared" si="17"/>
        <v>-33.359308273950553</v>
      </c>
      <c r="G42" s="63">
        <f t="shared" si="17"/>
        <v>-28.879502299444567</v>
      </c>
      <c r="H42" s="63">
        <f t="shared" si="17"/>
        <v>-29.791588066249307</v>
      </c>
      <c r="I42" s="63">
        <f t="shared" si="17"/>
        <v>-30.685129905361755</v>
      </c>
      <c r="J42" s="63">
        <f t="shared" si="17"/>
        <v>-31.604499663222668</v>
      </c>
    </row>
    <row r="43" spans="2:12" ht="14.1" x14ac:dyDescent="0.55000000000000004">
      <c r="B43" s="12" t="s">
        <v>21</v>
      </c>
      <c r="C43" s="64">
        <f>SUM(C41:C42)</f>
        <v>112.01000000000002</v>
      </c>
      <c r="D43" s="64">
        <f t="shared" ref="D43:J43" si="18">SUM(D41:D42)</f>
        <v>131.1882290576923</v>
      </c>
      <c r="E43" s="64">
        <f t="shared" si="18"/>
        <v>140.15320583533435</v>
      </c>
      <c r="F43" s="64">
        <f t="shared" si="18"/>
        <v>133.43723309580221</v>
      </c>
      <c r="G43" s="64">
        <f t="shared" si="18"/>
        <v>115.51800919777827</v>
      </c>
      <c r="H43" s="64">
        <f t="shared" si="18"/>
        <v>119.16635226499723</v>
      </c>
      <c r="I43" s="64">
        <f t="shared" si="18"/>
        <v>122.74051962144702</v>
      </c>
      <c r="J43" s="64">
        <f t="shared" si="18"/>
        <v>126.41799865289067</v>
      </c>
    </row>
    <row r="44" spans="2:12" x14ac:dyDescent="0.55000000000000004">
      <c r="B44" s="11"/>
    </row>
    <row r="45" spans="2:12" ht="14.1" x14ac:dyDescent="0.55000000000000004">
      <c r="B45" s="12"/>
      <c r="C45" s="57" t="s">
        <v>226</v>
      </c>
      <c r="D45" s="57" t="s">
        <v>227</v>
      </c>
      <c r="E45" s="57" t="s">
        <v>227</v>
      </c>
      <c r="F45" s="57" t="s">
        <v>227</v>
      </c>
      <c r="G45" s="57" t="s">
        <v>227</v>
      </c>
      <c r="H45" s="57" t="s">
        <v>227</v>
      </c>
      <c r="I45" s="57" t="s">
        <v>227</v>
      </c>
      <c r="J45" s="57" t="s">
        <v>227</v>
      </c>
    </row>
    <row r="46" spans="2:12" ht="14.1" x14ac:dyDescent="0.55000000000000004">
      <c r="B46" s="27" t="s">
        <v>258</v>
      </c>
      <c r="C46" s="20">
        <f>C6</f>
        <v>2025</v>
      </c>
      <c r="D46" s="20">
        <f t="shared" ref="D46:J46" si="19">D33</f>
        <v>2026</v>
      </c>
      <c r="E46" s="20">
        <f t="shared" si="19"/>
        <v>2027</v>
      </c>
      <c r="F46" s="20">
        <f t="shared" si="19"/>
        <v>2028</v>
      </c>
      <c r="G46" s="20">
        <f t="shared" si="19"/>
        <v>2029</v>
      </c>
      <c r="H46" s="20">
        <f t="shared" si="19"/>
        <v>2030</v>
      </c>
      <c r="I46" s="20">
        <f t="shared" si="19"/>
        <v>2031</v>
      </c>
      <c r="J46" s="20">
        <f t="shared" si="19"/>
        <v>2032</v>
      </c>
    </row>
    <row r="47" spans="2:12" x14ac:dyDescent="0.55000000000000004">
      <c r="B47" s="11" t="s">
        <v>259</v>
      </c>
      <c r="C47" s="62">
        <f>BS!V6</f>
        <v>35.933999999999997</v>
      </c>
      <c r="D47" s="62">
        <f>D14</f>
        <v>35.933999999999997</v>
      </c>
      <c r="E47" s="62">
        <f t="shared" ref="E47:J47" si="20">D47</f>
        <v>35.933999999999997</v>
      </c>
      <c r="F47" s="62">
        <f t="shared" si="20"/>
        <v>35.933999999999997</v>
      </c>
      <c r="G47" s="62">
        <f t="shared" si="20"/>
        <v>35.933999999999997</v>
      </c>
      <c r="H47" s="62">
        <f t="shared" si="20"/>
        <v>35.933999999999997</v>
      </c>
      <c r="I47" s="62">
        <f t="shared" si="20"/>
        <v>35.933999999999997</v>
      </c>
      <c r="J47" s="62">
        <f t="shared" si="20"/>
        <v>35.933999999999997</v>
      </c>
    </row>
    <row r="48" spans="2:12" x14ac:dyDescent="0.55000000000000004">
      <c r="B48" s="11" t="s">
        <v>260</v>
      </c>
      <c r="C48" s="62">
        <f>BS!V7+BS!V15</f>
        <v>96.486000000000004</v>
      </c>
      <c r="D48" s="62">
        <f t="shared" ref="D48:I48" si="21">D63-D47-SUM(D49:D53)</f>
        <v>71.437965046505241</v>
      </c>
      <c r="E48" s="62">
        <f t="shared" si="21"/>
        <v>62.00728795475689</v>
      </c>
      <c r="F48" s="62">
        <f t="shared" si="21"/>
        <v>64.295941555570494</v>
      </c>
      <c r="G48" s="62">
        <f t="shared" si="21"/>
        <v>68.237769529913521</v>
      </c>
      <c r="H48" s="62">
        <f t="shared" si="21"/>
        <v>66.559539756431377</v>
      </c>
      <c r="I48" s="62">
        <f t="shared" si="21"/>
        <v>64.708671036631699</v>
      </c>
      <c r="J48" s="62">
        <f>J63-J47-SUM(J49:J53)</f>
        <v>62.66005730954771</v>
      </c>
      <c r="L48" s="10" t="s">
        <v>261</v>
      </c>
    </row>
    <row r="49" spans="2:12" x14ac:dyDescent="0.55000000000000004">
      <c r="B49" s="11" t="s">
        <v>262</v>
      </c>
      <c r="C49" s="62">
        <f>BS!V8</f>
        <v>39.777000000000001</v>
      </c>
      <c r="D49" s="62">
        <f t="shared" ref="D49:J49" si="22">D17*D34</f>
        <v>28.608557897564797</v>
      </c>
      <c r="E49" s="62">
        <f t="shared" si="22"/>
        <v>31.469413687321278</v>
      </c>
      <c r="F49" s="62">
        <f t="shared" si="22"/>
        <v>33.042884371687343</v>
      </c>
      <c r="G49" s="62">
        <f t="shared" si="22"/>
        <v>34.364599746554838</v>
      </c>
      <c r="H49" s="62">
        <f t="shared" si="22"/>
        <v>35.395537738951482</v>
      </c>
      <c r="I49" s="62">
        <f t="shared" si="22"/>
        <v>36.457403871120029</v>
      </c>
      <c r="J49" s="62">
        <f t="shared" si="22"/>
        <v>37.551125987253627</v>
      </c>
    </row>
    <row r="50" spans="2:12" x14ac:dyDescent="0.55000000000000004">
      <c r="B50" s="11" t="s">
        <v>263</v>
      </c>
      <c r="C50" s="62">
        <f>BS!V9</f>
        <v>5.718</v>
      </c>
      <c r="D50" s="62">
        <f t="shared" ref="D50:J50" si="23">-D18*D35</f>
        <v>5.9508544484653232</v>
      </c>
      <c r="E50" s="62">
        <f t="shared" si="23"/>
        <v>6.6742916559258125</v>
      </c>
      <c r="F50" s="62">
        <f t="shared" si="23"/>
        <v>7.412314290956072</v>
      </c>
      <c r="G50" s="62">
        <f t="shared" si="23"/>
        <v>8.4096074864665251</v>
      </c>
      <c r="H50" s="62">
        <f t="shared" si="23"/>
        <v>8.6618957110605201</v>
      </c>
      <c r="I50" s="62">
        <f t="shared" si="23"/>
        <v>8.9217525823923367</v>
      </c>
      <c r="J50" s="62">
        <f t="shared" si="23"/>
        <v>9.1894051598641049</v>
      </c>
    </row>
    <row r="51" spans="2:12" x14ac:dyDescent="0.55000000000000004">
      <c r="B51" s="11" t="s">
        <v>264</v>
      </c>
      <c r="C51" s="62">
        <f>BS!V14+BS!V11</f>
        <v>47.765000000000001</v>
      </c>
      <c r="D51" s="62">
        <f t="shared" ref="D51:J51" si="24">D20*D34</f>
        <v>57.836494623060737</v>
      </c>
      <c r="E51" s="62">
        <f t="shared" si="24"/>
        <v>63.62014408536681</v>
      </c>
      <c r="F51" s="62">
        <f t="shared" si="24"/>
        <v>66.801151289635143</v>
      </c>
      <c r="G51" s="62">
        <f t="shared" si="24"/>
        <v>69.473197341220555</v>
      </c>
      <c r="H51" s="62">
        <f t="shared" si="24"/>
        <v>71.557393261457179</v>
      </c>
      <c r="I51" s="62">
        <f t="shared" si="24"/>
        <v>73.704115059300889</v>
      </c>
      <c r="J51" s="62">
        <f t="shared" si="24"/>
        <v>75.91523851107992</v>
      </c>
    </row>
    <row r="52" spans="2:12" x14ac:dyDescent="0.55000000000000004">
      <c r="B52" s="11" t="s">
        <v>265</v>
      </c>
      <c r="C52" s="62">
        <f>BS!V16</f>
        <v>49.834000000000003</v>
      </c>
      <c r="D52" s="62">
        <f>C52+D66-D67</f>
        <v>55.193073262019233</v>
      </c>
      <c r="E52" s="62">
        <f t="shared" ref="E52:J52" si="25">D52+E66-E67</f>
        <v>63.070910957187508</v>
      </c>
      <c r="F52" s="62">
        <f t="shared" si="25"/>
        <v>71.263862160162489</v>
      </c>
      <c r="G52" s="62">
        <f t="shared" si="25"/>
        <v>79.702601899226721</v>
      </c>
      <c r="H52" s="62">
        <f t="shared" si="25"/>
        <v>88.394503830462895</v>
      </c>
      <c r="I52" s="62">
        <f t="shared" si="25"/>
        <v>97.086405761699069</v>
      </c>
      <c r="J52" s="62">
        <f t="shared" si="25"/>
        <v>105.77830769293524</v>
      </c>
      <c r="L52" s="10" t="s">
        <v>266</v>
      </c>
    </row>
    <row r="53" spans="2:12" x14ac:dyDescent="0.55000000000000004">
      <c r="B53" s="11" t="s">
        <v>267</v>
      </c>
      <c r="C53" s="62">
        <f>BS!V19</f>
        <v>83.727000000000004</v>
      </c>
      <c r="D53" s="62">
        <f t="shared" ref="D53:J53" si="26">D19</f>
        <v>83.727000000000004</v>
      </c>
      <c r="E53" s="62">
        <f t="shared" si="26"/>
        <v>83.727000000000004</v>
      </c>
      <c r="F53" s="62">
        <f t="shared" si="26"/>
        <v>83.727000000000004</v>
      </c>
      <c r="G53" s="62">
        <f t="shared" si="26"/>
        <v>83.727000000000004</v>
      </c>
      <c r="H53" s="62">
        <f t="shared" si="26"/>
        <v>83.727000000000004</v>
      </c>
      <c r="I53" s="62">
        <f t="shared" si="26"/>
        <v>83.727000000000004</v>
      </c>
      <c r="J53" s="62">
        <f t="shared" si="26"/>
        <v>83.727000000000004</v>
      </c>
    </row>
    <row r="54" spans="2:12" ht="14.1" x14ac:dyDescent="0.55000000000000004">
      <c r="B54" s="47" t="s">
        <v>23</v>
      </c>
      <c r="C54" s="65">
        <f>SUM(C47:C53)</f>
        <v>359.24099999999999</v>
      </c>
      <c r="D54" s="65">
        <f t="shared" ref="D54:J54" si="27">SUM(D47:D53)</f>
        <v>338.68794527761531</v>
      </c>
      <c r="E54" s="65">
        <f t="shared" si="27"/>
        <v>346.50304834055828</v>
      </c>
      <c r="F54" s="65">
        <f t="shared" si="27"/>
        <v>362.47715366801151</v>
      </c>
      <c r="G54" s="65">
        <f t="shared" si="27"/>
        <v>379.84877600338211</v>
      </c>
      <c r="H54" s="65">
        <f t="shared" si="27"/>
        <v>390.22987029836338</v>
      </c>
      <c r="I54" s="65">
        <f t="shared" si="27"/>
        <v>400.53934831114395</v>
      </c>
      <c r="J54" s="65">
        <f t="shared" si="27"/>
        <v>410.7551346606806</v>
      </c>
    </row>
    <row r="55" spans="2:12" ht="14.1" x14ac:dyDescent="0.55000000000000004">
      <c r="B55" s="12"/>
    </row>
    <row r="56" spans="2:12" x14ac:dyDescent="0.55000000000000004">
      <c r="B56" s="11" t="s">
        <v>112</v>
      </c>
      <c r="C56" s="62">
        <f>BS!V23</f>
        <v>69.86</v>
      </c>
      <c r="D56" s="62">
        <f t="shared" ref="D56:J56" si="28">-D21*D35</f>
        <v>61.979152857003029</v>
      </c>
      <c r="E56" s="62">
        <f t="shared" si="28"/>
        <v>69.513873400403398</v>
      </c>
      <c r="F56" s="62">
        <f t="shared" si="28"/>
        <v>77.20050363217878</v>
      </c>
      <c r="G56" s="62">
        <f t="shared" si="28"/>
        <v>87.587480484508276</v>
      </c>
      <c r="H56" s="62">
        <f t="shared" si="28"/>
        <v>90.215104899043538</v>
      </c>
      <c r="I56" s="62">
        <f t="shared" si="28"/>
        <v>92.921558046014837</v>
      </c>
      <c r="J56" s="62">
        <f t="shared" si="28"/>
        <v>95.709204787395279</v>
      </c>
    </row>
    <row r="57" spans="2:12" x14ac:dyDescent="0.55000000000000004">
      <c r="B57" s="11" t="s">
        <v>268</v>
      </c>
      <c r="C57" s="62">
        <f>BS!V24+BS!V26</f>
        <v>75.442000000000007</v>
      </c>
      <c r="D57" s="62">
        <f t="shared" ref="D57:J57" si="29">-D22*D35</f>
        <v>72.282146609073862</v>
      </c>
      <c r="E57" s="62">
        <f t="shared" si="29"/>
        <v>81.069387961549509</v>
      </c>
      <c r="F57" s="62">
        <f t="shared" si="29"/>
        <v>90.033791438067013</v>
      </c>
      <c r="G57" s="62">
        <f t="shared" si="29"/>
        <v>102.14742883155239</v>
      </c>
      <c r="H57" s="62">
        <f t="shared" si="29"/>
        <v>105.21185169649897</v>
      </c>
      <c r="I57" s="62">
        <f t="shared" si="29"/>
        <v>108.36820724739394</v>
      </c>
      <c r="J57" s="62">
        <f t="shared" si="29"/>
        <v>111.61925346481574</v>
      </c>
    </row>
    <row r="58" spans="2:12" x14ac:dyDescent="0.55000000000000004">
      <c r="B58" s="11" t="s">
        <v>140</v>
      </c>
      <c r="C58" s="62">
        <f>BS!V27+BS!V28</f>
        <v>20.329000000000001</v>
      </c>
      <c r="D58" s="62">
        <f t="shared" ref="D58:J59" si="30">D15</f>
        <v>20.329000000000001</v>
      </c>
      <c r="E58" s="62">
        <f t="shared" si="30"/>
        <v>20.329000000000001</v>
      </c>
      <c r="F58" s="62">
        <f t="shared" si="30"/>
        <v>20.329000000000001</v>
      </c>
      <c r="G58" s="62">
        <f t="shared" si="30"/>
        <v>20.329000000000001</v>
      </c>
      <c r="H58" s="62">
        <f t="shared" si="30"/>
        <v>20.329000000000001</v>
      </c>
      <c r="I58" s="62">
        <f t="shared" si="30"/>
        <v>20.329000000000001</v>
      </c>
      <c r="J58" s="62">
        <f t="shared" si="30"/>
        <v>20.329000000000001</v>
      </c>
    </row>
    <row r="59" spans="2:12" x14ac:dyDescent="0.55000000000000004">
      <c r="B59" s="11" t="s">
        <v>269</v>
      </c>
      <c r="C59" s="62">
        <f>BS!V29</f>
        <v>78.328000000000003</v>
      </c>
      <c r="D59" s="62">
        <f t="shared" si="30"/>
        <v>78.328000000000003</v>
      </c>
      <c r="E59" s="62">
        <f t="shared" si="30"/>
        <v>78.328000000000003</v>
      </c>
      <c r="F59" s="62">
        <f t="shared" si="30"/>
        <v>78.328000000000003</v>
      </c>
      <c r="G59" s="62">
        <f t="shared" si="30"/>
        <v>78.328000000000003</v>
      </c>
      <c r="H59" s="62">
        <f t="shared" si="30"/>
        <v>78.328000000000003</v>
      </c>
      <c r="I59" s="62">
        <f t="shared" si="30"/>
        <v>78.328000000000003</v>
      </c>
      <c r="J59" s="62">
        <f t="shared" si="30"/>
        <v>78.328000000000003</v>
      </c>
    </row>
    <row r="60" spans="2:12" x14ac:dyDescent="0.55000000000000004">
      <c r="B60" s="11" t="s">
        <v>270</v>
      </c>
      <c r="C60" s="62">
        <f>BS!V30</f>
        <v>41.548999999999999</v>
      </c>
      <c r="D60" s="62">
        <f t="shared" ref="D60:J60" si="31">D23</f>
        <v>41.548999999999999</v>
      </c>
      <c r="E60" s="62">
        <f t="shared" si="31"/>
        <v>41.548999999999999</v>
      </c>
      <c r="F60" s="62">
        <f t="shared" si="31"/>
        <v>41.548999999999999</v>
      </c>
      <c r="G60" s="62">
        <f t="shared" si="31"/>
        <v>41.548999999999999</v>
      </c>
      <c r="H60" s="62">
        <f t="shared" si="31"/>
        <v>41.548999999999999</v>
      </c>
      <c r="I60" s="62">
        <f t="shared" si="31"/>
        <v>41.548999999999999</v>
      </c>
      <c r="J60" s="62">
        <f t="shared" si="31"/>
        <v>41.548999999999999</v>
      </c>
    </row>
    <row r="61" spans="2:12" x14ac:dyDescent="0.55000000000000004">
      <c r="B61" s="11" t="s">
        <v>271</v>
      </c>
      <c r="C61" s="62">
        <f>SUM(C56:C60)</f>
        <v>285.50800000000004</v>
      </c>
      <c r="D61" s="62">
        <f t="shared" ref="D61:J61" si="32">SUM(D56:D60)</f>
        <v>274.46729946607689</v>
      </c>
      <c r="E61" s="62">
        <f t="shared" si="32"/>
        <v>290.78926136195292</v>
      </c>
      <c r="F61" s="62">
        <f t="shared" si="32"/>
        <v>307.44029507024578</v>
      </c>
      <c r="G61" s="62">
        <f t="shared" si="32"/>
        <v>329.9409093160607</v>
      </c>
      <c r="H61" s="62">
        <f t="shared" si="32"/>
        <v>335.63295659554251</v>
      </c>
      <c r="I61" s="62">
        <f t="shared" si="32"/>
        <v>341.49576529340879</v>
      </c>
      <c r="J61" s="62">
        <f t="shared" si="32"/>
        <v>347.53445825221104</v>
      </c>
    </row>
    <row r="62" spans="2:12" x14ac:dyDescent="0.55000000000000004">
      <c r="B62" s="11" t="s">
        <v>272</v>
      </c>
      <c r="C62" s="62">
        <f>BS!V33</f>
        <v>73.733000000000004</v>
      </c>
      <c r="D62" s="62">
        <f>C62+D43-D68-D69</f>
        <v>64.220645811538461</v>
      </c>
      <c r="E62" s="62">
        <f t="shared" ref="E62:J62" si="33">D62+E43-E68-E69</f>
        <v>55.713786978605327</v>
      </c>
      <c r="F62" s="62">
        <f t="shared" si="33"/>
        <v>55.036858597765772</v>
      </c>
      <c r="G62" s="62">
        <f t="shared" si="33"/>
        <v>49.90786668732143</v>
      </c>
      <c r="H62" s="62">
        <f t="shared" si="33"/>
        <v>54.596913702820856</v>
      </c>
      <c r="I62" s="62">
        <f t="shared" si="33"/>
        <v>59.043583017735216</v>
      </c>
      <c r="J62" s="62">
        <f t="shared" si="33"/>
        <v>63.2206764084696</v>
      </c>
      <c r="L62" s="10" t="s">
        <v>273</v>
      </c>
    </row>
    <row r="63" spans="2:12" ht="14.1" x14ac:dyDescent="0.55000000000000004">
      <c r="B63" s="47" t="s">
        <v>274</v>
      </c>
      <c r="C63" s="66">
        <f>SUM(C61:C62)</f>
        <v>359.24100000000004</v>
      </c>
      <c r="D63" s="66">
        <f t="shared" ref="D63:J63" si="34">D62+D61</f>
        <v>338.68794527761537</v>
      </c>
      <c r="E63" s="66">
        <f t="shared" si="34"/>
        <v>346.50304834055828</v>
      </c>
      <c r="F63" s="66">
        <f t="shared" si="34"/>
        <v>362.47715366801157</v>
      </c>
      <c r="G63" s="66">
        <f t="shared" si="34"/>
        <v>379.84877600338211</v>
      </c>
      <c r="H63" s="66">
        <f t="shared" si="34"/>
        <v>390.22987029836338</v>
      </c>
      <c r="I63" s="66">
        <f t="shared" si="34"/>
        <v>400.53934831114401</v>
      </c>
      <c r="J63" s="66">
        <f t="shared" si="34"/>
        <v>410.75513466068065</v>
      </c>
    </row>
    <row r="64" spans="2:12" x14ac:dyDescent="0.55000000000000004">
      <c r="C64" s="67"/>
    </row>
    <row r="65" spans="2:10" ht="14.1" x14ac:dyDescent="0.55000000000000004">
      <c r="B65" s="27" t="s">
        <v>275</v>
      </c>
      <c r="C65" s="20"/>
      <c r="D65" s="20"/>
      <c r="E65" s="20"/>
      <c r="F65" s="20"/>
      <c r="G65" s="20"/>
      <c r="H65" s="20"/>
      <c r="I65" s="20"/>
      <c r="J65" s="20"/>
    </row>
    <row r="66" spans="2:10" x14ac:dyDescent="0.55000000000000004">
      <c r="B66" s="11" t="s">
        <v>147</v>
      </c>
      <c r="C66" s="13"/>
      <c r="D66" s="13">
        <f>D28*E34</f>
        <v>26.795366310096156</v>
      </c>
      <c r="E66" s="13">
        <f t="shared" ref="E66:H66" si="35">E28*F34</f>
        <v>39.389188475841351</v>
      </c>
      <c r="F66" s="13">
        <f t="shared" si="35"/>
        <v>40.964756014875</v>
      </c>
      <c r="G66" s="13">
        <f t="shared" si="35"/>
        <v>42.193698695321253</v>
      </c>
      <c r="H66" s="13">
        <f t="shared" si="35"/>
        <v>43.459509656180892</v>
      </c>
      <c r="I66" s="13">
        <f>H66</f>
        <v>43.459509656180892</v>
      </c>
      <c r="J66" s="13">
        <f>I66</f>
        <v>43.459509656180892</v>
      </c>
    </row>
    <row r="67" spans="2:10" x14ac:dyDescent="0.55000000000000004">
      <c r="B67" s="11" t="s">
        <v>276</v>
      </c>
      <c r="C67" s="13"/>
      <c r="D67" s="13">
        <f>D66*D29</f>
        <v>21.436293048076926</v>
      </c>
      <c r="E67" s="13">
        <f t="shared" ref="E67:H67" si="36">E66*E29</f>
        <v>31.511350780673084</v>
      </c>
      <c r="F67" s="13">
        <f t="shared" si="36"/>
        <v>32.771804811900004</v>
      </c>
      <c r="G67" s="13">
        <f t="shared" si="36"/>
        <v>33.754958956257006</v>
      </c>
      <c r="H67" s="13">
        <f t="shared" si="36"/>
        <v>34.767607724944718</v>
      </c>
      <c r="I67" s="13">
        <f>H67</f>
        <v>34.767607724944718</v>
      </c>
      <c r="J67" s="13">
        <f>I67</f>
        <v>34.767607724944718</v>
      </c>
    </row>
    <row r="68" spans="2:10" x14ac:dyDescent="0.55000000000000004">
      <c r="B68" s="11" t="s">
        <v>144</v>
      </c>
      <c r="C68" s="13">
        <v>15</v>
      </c>
      <c r="D68" s="13">
        <f>C68*(1+D25)</f>
        <v>15.75</v>
      </c>
      <c r="E68" s="13">
        <f t="shared" ref="E68:J68" si="37">D68*(1+E25)</f>
        <v>16.537500000000001</v>
      </c>
      <c r="F68" s="13">
        <f t="shared" si="37"/>
        <v>17.364375000000003</v>
      </c>
      <c r="G68" s="13">
        <f t="shared" si="37"/>
        <v>18.232593750000003</v>
      </c>
      <c r="H68" s="13">
        <f t="shared" si="37"/>
        <v>19.144223437500003</v>
      </c>
      <c r="I68" s="13">
        <f t="shared" si="37"/>
        <v>20.101434609375005</v>
      </c>
      <c r="J68" s="13">
        <f t="shared" si="37"/>
        <v>21.106506339843754</v>
      </c>
    </row>
    <row r="69" spans="2:10" x14ac:dyDescent="0.55000000000000004">
      <c r="B69" s="11" t="s">
        <v>277</v>
      </c>
      <c r="C69" s="13"/>
      <c r="D69" s="13">
        <f t="shared" ref="D69:I69" si="38">D26*D43+D27</f>
        <v>124.95058324615384</v>
      </c>
      <c r="E69" s="13">
        <f t="shared" si="38"/>
        <v>132.1225646682675</v>
      </c>
      <c r="F69" s="13">
        <f t="shared" si="38"/>
        <v>116.74978647664177</v>
      </c>
      <c r="G69" s="13">
        <f t="shared" si="38"/>
        <v>102.41440735822262</v>
      </c>
      <c r="H69" s="13">
        <f t="shared" si="38"/>
        <v>95.333081811997786</v>
      </c>
      <c r="I69" s="13">
        <f t="shared" si="38"/>
        <v>98.192415697157628</v>
      </c>
      <c r="J69" s="13">
        <f>J26*J43+J27</f>
        <v>101.13439892231254</v>
      </c>
    </row>
    <row r="70" spans="2:10" x14ac:dyDescent="0.55000000000000004">
      <c r="B70" s="11"/>
      <c r="C70" s="13"/>
      <c r="D70" s="13"/>
      <c r="E70" s="13"/>
      <c r="F70" s="13"/>
      <c r="G70" s="13"/>
      <c r="H70" s="13"/>
      <c r="I70" s="13"/>
      <c r="J70" s="13"/>
    </row>
    <row r="71" spans="2:10" ht="14.1" x14ac:dyDescent="0.55000000000000004">
      <c r="B71" s="11"/>
      <c r="D71" s="57" t="s">
        <v>227</v>
      </c>
      <c r="E71" s="57" t="s">
        <v>227</v>
      </c>
      <c r="F71" s="57" t="s">
        <v>227</v>
      </c>
      <c r="G71" s="57" t="s">
        <v>227</v>
      </c>
      <c r="H71" s="57" t="s">
        <v>227</v>
      </c>
      <c r="I71" s="57" t="s">
        <v>227</v>
      </c>
      <c r="J71" s="57" t="s">
        <v>227</v>
      </c>
    </row>
    <row r="72" spans="2:10" ht="14.1" x14ac:dyDescent="0.55000000000000004">
      <c r="B72" s="27" t="s">
        <v>278</v>
      </c>
      <c r="C72" s="20"/>
      <c r="D72" s="20">
        <f t="shared" ref="D72:J72" si="39">D46</f>
        <v>2026</v>
      </c>
      <c r="E72" s="20">
        <f t="shared" si="39"/>
        <v>2027</v>
      </c>
      <c r="F72" s="20">
        <f t="shared" si="39"/>
        <v>2028</v>
      </c>
      <c r="G72" s="20">
        <f t="shared" si="39"/>
        <v>2029</v>
      </c>
      <c r="H72" s="20">
        <f t="shared" si="39"/>
        <v>2030</v>
      </c>
      <c r="I72" s="20">
        <f t="shared" si="39"/>
        <v>2031</v>
      </c>
      <c r="J72" s="20">
        <f t="shared" si="39"/>
        <v>2032</v>
      </c>
    </row>
    <row r="73" spans="2:10" x14ac:dyDescent="0.55000000000000004">
      <c r="B73" s="11" t="s">
        <v>279</v>
      </c>
      <c r="D73" s="62">
        <f t="shared" ref="D73:J73" si="40">D38*(1-D12)</f>
        <v>132.8188450576923</v>
      </c>
      <c r="E73" s="62">
        <f t="shared" si="40"/>
        <v>141.81347095384618</v>
      </c>
      <c r="F73" s="62">
        <f t="shared" si="40"/>
        <v>135.39927988124998</v>
      </c>
      <c r="G73" s="62">
        <f t="shared" si="40"/>
        <v>117.406819068</v>
      </c>
      <c r="H73" s="62">
        <f t="shared" si="40"/>
        <v>120.92902364003999</v>
      </c>
      <c r="I73" s="62">
        <f t="shared" si="40"/>
        <v>124.5568943492412</v>
      </c>
      <c r="J73" s="62">
        <f t="shared" si="40"/>
        <v>128.29360117971848</v>
      </c>
    </row>
    <row r="74" spans="2:10" x14ac:dyDescent="0.55000000000000004">
      <c r="B74" s="11" t="s">
        <v>276</v>
      </c>
      <c r="D74" s="62">
        <f t="shared" ref="D74:J74" si="41">D67</f>
        <v>21.436293048076926</v>
      </c>
      <c r="E74" s="62">
        <f t="shared" si="41"/>
        <v>31.511350780673084</v>
      </c>
      <c r="F74" s="62">
        <f t="shared" si="41"/>
        <v>32.771804811900004</v>
      </c>
      <c r="G74" s="62">
        <f t="shared" si="41"/>
        <v>33.754958956257006</v>
      </c>
      <c r="H74" s="62">
        <f t="shared" si="41"/>
        <v>34.767607724944718</v>
      </c>
      <c r="I74" s="62">
        <f t="shared" si="41"/>
        <v>34.767607724944718</v>
      </c>
      <c r="J74" s="62">
        <f t="shared" si="41"/>
        <v>34.767607724944718</v>
      </c>
    </row>
    <row r="75" spans="2:10" x14ac:dyDescent="0.55000000000000004">
      <c r="B75" s="11" t="s">
        <v>147</v>
      </c>
      <c r="D75" s="62">
        <f t="shared" ref="D75:J75" si="42">-D66</f>
        <v>-26.795366310096156</v>
      </c>
      <c r="E75" s="62">
        <f t="shared" si="42"/>
        <v>-39.389188475841351</v>
      </c>
      <c r="F75" s="62">
        <f t="shared" si="42"/>
        <v>-40.964756014875</v>
      </c>
      <c r="G75" s="62">
        <f t="shared" si="42"/>
        <v>-42.193698695321253</v>
      </c>
      <c r="H75" s="62">
        <f t="shared" si="42"/>
        <v>-43.459509656180892</v>
      </c>
      <c r="I75" s="62">
        <f t="shared" si="42"/>
        <v>-43.459509656180892</v>
      </c>
      <c r="J75" s="62">
        <f t="shared" si="42"/>
        <v>-43.459509656180892</v>
      </c>
    </row>
    <row r="76" spans="2:10" x14ac:dyDescent="0.55000000000000004">
      <c r="B76" s="11" t="s">
        <v>280</v>
      </c>
      <c r="D76" s="62"/>
      <c r="E76" s="62"/>
      <c r="F76" s="62"/>
      <c r="G76" s="62"/>
      <c r="H76" s="62"/>
      <c r="I76" s="62"/>
      <c r="J76" s="62"/>
    </row>
    <row r="77" spans="2:10" x14ac:dyDescent="0.55000000000000004">
      <c r="B77" s="11" t="s">
        <v>281</v>
      </c>
      <c r="D77" s="62">
        <f>C49-D49</f>
        <v>11.168442102435204</v>
      </c>
      <c r="E77" s="62">
        <f t="shared" ref="E77:J79" si="43">D49-E49</f>
        <v>-2.8608557897564815</v>
      </c>
      <c r="F77" s="62">
        <f t="shared" si="43"/>
        <v>-1.5734706843660646</v>
      </c>
      <c r="G77" s="62">
        <f t="shared" si="43"/>
        <v>-1.3217153748674946</v>
      </c>
      <c r="H77" s="62">
        <f t="shared" si="43"/>
        <v>-1.0309379923966446</v>
      </c>
      <c r="I77" s="62">
        <f t="shared" si="43"/>
        <v>-1.0618661321685465</v>
      </c>
      <c r="J77" s="62">
        <f t="shared" si="43"/>
        <v>-1.0937221161335984</v>
      </c>
    </row>
    <row r="78" spans="2:10" x14ac:dyDescent="0.55000000000000004">
      <c r="B78" s="11" t="s">
        <v>282</v>
      </c>
      <c r="D78" s="62">
        <f>C50-D50</f>
        <v>-0.23285444846532322</v>
      </c>
      <c r="E78" s="62">
        <f t="shared" si="43"/>
        <v>-0.72343720746048934</v>
      </c>
      <c r="F78" s="62">
        <f t="shared" si="43"/>
        <v>-0.73802263503025944</v>
      </c>
      <c r="G78" s="62">
        <f t="shared" si="43"/>
        <v>-0.99729319551045315</v>
      </c>
      <c r="H78" s="62">
        <f t="shared" si="43"/>
        <v>-0.25228822459399503</v>
      </c>
      <c r="I78" s="62">
        <f t="shared" si="43"/>
        <v>-0.25985687133181656</v>
      </c>
      <c r="J78" s="62">
        <f t="shared" si="43"/>
        <v>-0.26765257747176818</v>
      </c>
    </row>
    <row r="79" spans="2:10" x14ac:dyDescent="0.55000000000000004">
      <c r="B79" s="11" t="s">
        <v>283</v>
      </c>
      <c r="D79" s="62">
        <f>C51-D51</f>
        <v>-10.071494623060737</v>
      </c>
      <c r="E79" s="62">
        <f t="shared" si="43"/>
        <v>-5.783649462306073</v>
      </c>
      <c r="F79" s="62">
        <f t="shared" si="43"/>
        <v>-3.1810072042683331</v>
      </c>
      <c r="G79" s="62">
        <f t="shared" si="43"/>
        <v>-2.6720460515854114</v>
      </c>
      <c r="H79" s="62">
        <f t="shared" si="43"/>
        <v>-2.084195920236624</v>
      </c>
      <c r="I79" s="62">
        <f t="shared" si="43"/>
        <v>-2.1467217978437105</v>
      </c>
      <c r="J79" s="62">
        <f t="shared" si="43"/>
        <v>-2.2111234517790308</v>
      </c>
    </row>
    <row r="80" spans="2:10" x14ac:dyDescent="0.55000000000000004">
      <c r="B80" s="11" t="s">
        <v>284</v>
      </c>
      <c r="D80" s="62">
        <f>D56-C56</f>
        <v>-7.88084714299697</v>
      </c>
      <c r="E80" s="62">
        <f t="shared" ref="E80:J81" si="44">E56-D56</f>
        <v>7.5347205434003683</v>
      </c>
      <c r="F80" s="62">
        <f t="shared" si="44"/>
        <v>7.6866302317753821</v>
      </c>
      <c r="G80" s="62">
        <f t="shared" si="44"/>
        <v>10.386976852329497</v>
      </c>
      <c r="H80" s="62">
        <f t="shared" si="44"/>
        <v>2.6276244145352621</v>
      </c>
      <c r="I80" s="62">
        <f t="shared" si="44"/>
        <v>2.7064531469712989</v>
      </c>
      <c r="J80" s="62">
        <f t="shared" si="44"/>
        <v>2.787646741380442</v>
      </c>
    </row>
    <row r="81" spans="2:10" x14ac:dyDescent="0.55000000000000004">
      <c r="B81" s="44" t="s">
        <v>285</v>
      </c>
      <c r="C81" s="21"/>
      <c r="D81" s="63">
        <f>D57-C57</f>
        <v>-3.1598533909261448</v>
      </c>
      <c r="E81" s="63">
        <f t="shared" si="44"/>
        <v>8.7872413524756467</v>
      </c>
      <c r="F81" s="63">
        <f t="shared" si="44"/>
        <v>8.9644034765175036</v>
      </c>
      <c r="G81" s="63">
        <f t="shared" si="44"/>
        <v>12.113637393485376</v>
      </c>
      <c r="H81" s="63">
        <f t="shared" si="44"/>
        <v>3.0644228649465788</v>
      </c>
      <c r="I81" s="63">
        <f t="shared" si="44"/>
        <v>3.1563555508949719</v>
      </c>
      <c r="J81" s="63">
        <f t="shared" si="44"/>
        <v>3.251046217421802</v>
      </c>
    </row>
    <row r="82" spans="2:10" ht="14.1" x14ac:dyDescent="0.55000000000000004">
      <c r="B82" s="12" t="s">
        <v>286</v>
      </c>
      <c r="C82" s="16"/>
      <c r="D82" s="64">
        <f t="shared" ref="D82:I82" si="45">SUM(D73:D81)</f>
        <v>117.28316429265908</v>
      </c>
      <c r="E82" s="64">
        <f t="shared" si="45"/>
        <v>140.88965269503092</v>
      </c>
      <c r="F82" s="64">
        <f t="shared" si="45"/>
        <v>138.36486186290321</v>
      </c>
      <c r="G82" s="64">
        <f t="shared" si="45"/>
        <v>126.47763895278729</v>
      </c>
      <c r="H82" s="64">
        <f t="shared" si="45"/>
        <v>114.56174685105839</v>
      </c>
      <c r="I82" s="64">
        <f t="shared" si="45"/>
        <v>118.25935631452721</v>
      </c>
      <c r="J82" s="64">
        <f t="shared" ref="J82" si="46">SUM(J73:J81)</f>
        <v>122.06789406190016</v>
      </c>
    </row>
    <row r="83" spans="2:10" ht="14.1" x14ac:dyDescent="0.55000000000000004">
      <c r="B83" s="44" t="s">
        <v>287</v>
      </c>
      <c r="C83" s="20"/>
      <c r="D83" s="68"/>
      <c r="E83" s="68"/>
      <c r="F83" s="68"/>
      <c r="G83" s="69"/>
      <c r="H83" s="69"/>
      <c r="I83" s="70"/>
      <c r="J83" s="70">
        <f>J82*(1+C30)/('cost of capital'!C22-'Valuation - lower margins'!C30)</f>
        <v>2752.211531512181</v>
      </c>
    </row>
    <row r="84" spans="2:10" ht="14.1" x14ac:dyDescent="0.55000000000000004">
      <c r="B84" s="12" t="s">
        <v>288</v>
      </c>
      <c r="C84" s="16"/>
      <c r="D84" s="64">
        <f t="shared" ref="D84:J84" si="47">SUM(D82:D83)</f>
        <v>117.28316429265908</v>
      </c>
      <c r="E84" s="64">
        <f t="shared" si="47"/>
        <v>140.88965269503092</v>
      </c>
      <c r="F84" s="64">
        <f t="shared" si="47"/>
        <v>138.36486186290321</v>
      </c>
      <c r="G84" s="64">
        <f t="shared" si="47"/>
        <v>126.47763895278729</v>
      </c>
      <c r="H84" s="64">
        <f t="shared" si="47"/>
        <v>114.56174685105839</v>
      </c>
      <c r="I84" s="71">
        <f t="shared" si="47"/>
        <v>118.25935631452721</v>
      </c>
      <c r="J84" s="71">
        <f t="shared" si="47"/>
        <v>2874.279425574081</v>
      </c>
    </row>
    <row r="85" spans="2:10" ht="14.4" thickBot="1" x14ac:dyDescent="0.6">
      <c r="B85" s="12"/>
      <c r="C85" s="16"/>
      <c r="D85" s="64"/>
      <c r="E85" s="64"/>
      <c r="F85" s="64"/>
      <c r="G85" s="64"/>
      <c r="H85" s="64"/>
      <c r="I85" s="64"/>
      <c r="J85" s="64"/>
    </row>
    <row r="86" spans="2:10" ht="14.1" x14ac:dyDescent="0.55000000000000004">
      <c r="B86" s="72" t="s">
        <v>289</v>
      </c>
      <c r="C86" s="73">
        <f>NPV('cost of capital'!C22,D84:J84)</f>
        <v>2250.411922544311</v>
      </c>
      <c r="D86" s="16"/>
      <c r="E86" s="16"/>
      <c r="F86" s="16"/>
      <c r="G86" s="16"/>
      <c r="H86" s="16"/>
      <c r="I86" s="16"/>
      <c r="J86" s="16"/>
    </row>
    <row r="87" spans="2:10" x14ac:dyDescent="0.55000000000000004">
      <c r="B87" s="74" t="s">
        <v>290</v>
      </c>
      <c r="C87" s="75">
        <f>C47+C48</f>
        <v>132.42000000000002</v>
      </c>
    </row>
    <row r="88" spans="2:10" x14ac:dyDescent="0.55000000000000004">
      <c r="B88" s="76" t="s">
        <v>291</v>
      </c>
      <c r="C88" s="77">
        <f>-(C59+C58)</f>
        <v>-98.657000000000011</v>
      </c>
    </row>
    <row r="89" spans="2:10" ht="14.1" x14ac:dyDescent="0.55000000000000004">
      <c r="B89" s="78" t="s">
        <v>292</v>
      </c>
      <c r="C89" s="79">
        <f>SUM(C86:C88)</f>
        <v>2284.1749225443109</v>
      </c>
      <c r="E89" s="10" t="s">
        <v>293</v>
      </c>
    </row>
    <row r="90" spans="2:10" x14ac:dyDescent="0.55000000000000004">
      <c r="B90" s="74" t="s">
        <v>294</v>
      </c>
      <c r="C90" s="80">
        <f>'cost of capital'!C12</f>
        <v>14.8</v>
      </c>
    </row>
    <row r="91" spans="2:10" ht="14.4" thickBot="1" x14ac:dyDescent="0.6">
      <c r="B91" s="81" t="s">
        <v>217</v>
      </c>
      <c r="C91" s="82">
        <f>C89/C90</f>
        <v>154.33614341515613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95"/>
  <sheetViews>
    <sheetView zoomScaleNormal="100" workbookViewId="0"/>
  </sheetViews>
  <sheetFormatPr defaultColWidth="9.1015625" defaultRowHeight="13.8" x14ac:dyDescent="0.55000000000000004"/>
  <cols>
    <col min="1" max="1" width="4.83984375" style="10" customWidth="1"/>
    <col min="2" max="2" width="60.26171875" style="10" customWidth="1"/>
    <col min="3" max="10" width="12.68359375" style="10" customWidth="1"/>
    <col min="11" max="11" width="6.1015625" style="10" customWidth="1"/>
    <col min="12" max="16384" width="9.1015625" style="10"/>
  </cols>
  <sheetData>
    <row r="2" spans="2:12" ht="14.1" x14ac:dyDescent="0.55000000000000004">
      <c r="B2" s="18" t="s">
        <v>224</v>
      </c>
    </row>
    <row r="3" spans="2:12" ht="14.1" x14ac:dyDescent="0.55000000000000004">
      <c r="B3" s="18" t="s">
        <v>345</v>
      </c>
    </row>
    <row r="5" spans="2:12" ht="14.1" x14ac:dyDescent="0.55000000000000004">
      <c r="B5" s="16" t="s">
        <v>225</v>
      </c>
      <c r="C5" s="57" t="str">
        <f>'Valuation - base'!C5</f>
        <v>Actual</v>
      </c>
      <c r="D5" s="57" t="str">
        <f>'Valuation - base'!D5</f>
        <v>Forecast</v>
      </c>
      <c r="E5" s="57" t="str">
        <f>'Valuation - base'!E5</f>
        <v>Forecast</v>
      </c>
      <c r="F5" s="57" t="str">
        <f>'Valuation - base'!F5</f>
        <v>Forecast</v>
      </c>
      <c r="G5" s="57" t="str">
        <f>'Valuation - base'!G5</f>
        <v>Forecast</v>
      </c>
      <c r="H5" s="57" t="str">
        <f>'Valuation - base'!H5</f>
        <v>Forecast</v>
      </c>
      <c r="I5" s="57" t="str">
        <f>'Valuation - base'!I5</f>
        <v>Forecast</v>
      </c>
      <c r="J5" s="57" t="str">
        <f>'Valuation - base'!J5</f>
        <v>Forecast</v>
      </c>
    </row>
    <row r="6" spans="2:12" ht="14.1" x14ac:dyDescent="0.55000000000000004">
      <c r="B6" s="20" t="s">
        <v>228</v>
      </c>
      <c r="C6" s="97">
        <f>'Valuation - base'!C6</f>
        <v>2025</v>
      </c>
      <c r="D6" s="97">
        <f>'Valuation - base'!D6</f>
        <v>2026</v>
      </c>
      <c r="E6" s="97">
        <f>'Valuation - base'!E6</f>
        <v>2027</v>
      </c>
      <c r="F6" s="97">
        <f>'Valuation - base'!F6</f>
        <v>2028</v>
      </c>
      <c r="G6" s="97">
        <f>'Valuation - base'!G6</f>
        <v>2029</v>
      </c>
      <c r="H6" s="97">
        <f>'Valuation - base'!H6</f>
        <v>2030</v>
      </c>
      <c r="I6" s="97">
        <f>'Valuation - base'!I6</f>
        <v>2031</v>
      </c>
      <c r="J6" s="97">
        <f>'Valuation - base'!J6</f>
        <v>2032</v>
      </c>
    </row>
    <row r="7" spans="2:12" x14ac:dyDescent="0.55000000000000004">
      <c r="B7" s="10" t="s">
        <v>116</v>
      </c>
      <c r="C7" s="98"/>
      <c r="D7" s="98">
        <f>'Valuation - base'!D7</f>
        <v>0.17067307692307687</v>
      </c>
      <c r="E7" s="98">
        <f>'Valuation - base'!E7</f>
        <v>0.11967145790554401</v>
      </c>
      <c r="F7" s="98">
        <f>'Valuation - base'!F7</f>
        <v>7.9186839788732311E-2</v>
      </c>
      <c r="G7" s="98">
        <f>'Valuation - base'!G7</f>
        <v>7.0000000000000007E-2</v>
      </c>
      <c r="H7" s="98">
        <f>'Valuation - base'!H7</f>
        <v>0.06</v>
      </c>
      <c r="I7" s="98">
        <f>'Valuation - base'!I7</f>
        <v>0.05</v>
      </c>
      <c r="J7" s="98">
        <f>'Valuation - base'!J7</f>
        <v>0.04</v>
      </c>
      <c r="L7" s="10" t="s">
        <v>229</v>
      </c>
    </row>
    <row r="8" spans="2:12" x14ac:dyDescent="0.55000000000000004">
      <c r="B8" s="10" t="s">
        <v>230</v>
      </c>
      <c r="C8" s="98">
        <f>'Valuation - base'!C8</f>
        <v>0.53094835892839554</v>
      </c>
      <c r="D8" s="98">
        <f>'Valuation - base'!D8</f>
        <v>0.51</v>
      </c>
      <c r="E8" s="98">
        <f>'Valuation - base'!E8</f>
        <v>0.49</v>
      </c>
      <c r="F8" s="98">
        <f>'Valuation - base'!F8</f>
        <v>0.47</v>
      </c>
      <c r="G8" s="98">
        <f>'Valuation - base'!G8</f>
        <v>0.47</v>
      </c>
      <c r="H8" s="98">
        <f>'Valuation - base'!H8</f>
        <v>0.47</v>
      </c>
      <c r="I8" s="98">
        <f>'Valuation - base'!I8</f>
        <v>0.47</v>
      </c>
      <c r="J8" s="98">
        <f>'Valuation - base'!J8</f>
        <v>0.47</v>
      </c>
      <c r="L8" s="10" t="s">
        <v>231</v>
      </c>
    </row>
    <row r="9" spans="2:12" x14ac:dyDescent="0.55000000000000004">
      <c r="B9" s="10" t="s">
        <v>232</v>
      </c>
      <c r="C9" s="98">
        <f>'Valuation - base'!C9</f>
        <v>0.14922109472055287</v>
      </c>
      <c r="D9" s="98">
        <f>'Valuation - base'!D9</f>
        <v>0.14922109472055287</v>
      </c>
      <c r="E9" s="98">
        <f>'Valuation - base'!E9</f>
        <v>0.14922109472055287</v>
      </c>
      <c r="F9" s="98">
        <f>'Valuation - base'!F9</f>
        <v>0.14922109472055287</v>
      </c>
      <c r="G9" s="98">
        <f>'Valuation - base'!G9</f>
        <v>0.14922109472055287</v>
      </c>
      <c r="H9" s="98">
        <f>'Valuation - base'!H9</f>
        <v>0.14922109472055287</v>
      </c>
      <c r="I9" s="98">
        <f>'Valuation - base'!I9</f>
        <v>0.14922109472055287</v>
      </c>
      <c r="J9" s="98">
        <f>'Valuation - base'!J9</f>
        <v>0.14922109472055287</v>
      </c>
      <c r="L9" s="10" t="s">
        <v>233</v>
      </c>
    </row>
    <row r="10" spans="2:12" x14ac:dyDescent="0.55000000000000004">
      <c r="B10" s="10" t="s">
        <v>234</v>
      </c>
      <c r="C10" s="98">
        <f>'Valuation - base'!C10</f>
        <v>0.03</v>
      </c>
      <c r="D10" s="98">
        <f>'Valuation - base'!D10</f>
        <v>0.03</v>
      </c>
      <c r="E10" s="98">
        <f>'Valuation - base'!E10</f>
        <v>0.04</v>
      </c>
      <c r="F10" s="98">
        <f>'Valuation - base'!F10</f>
        <v>0.04</v>
      </c>
      <c r="G10" s="98">
        <f>'Valuation - base'!G10</f>
        <v>0.04</v>
      </c>
      <c r="H10" s="98">
        <f>'Valuation - base'!H10</f>
        <v>0.04</v>
      </c>
      <c r="I10" s="98">
        <f>'Valuation - base'!I10</f>
        <v>0.04</v>
      </c>
      <c r="J10" s="98">
        <f>'Valuation - base'!J10</f>
        <v>0.04</v>
      </c>
      <c r="L10" s="10" t="s">
        <v>235</v>
      </c>
    </row>
    <row r="11" spans="2:12" x14ac:dyDescent="0.55000000000000004">
      <c r="B11" s="10" t="s">
        <v>143</v>
      </c>
      <c r="C11" s="98">
        <f>'Valuation - base'!C11</f>
        <v>0.05</v>
      </c>
      <c r="D11" s="98">
        <f>'Valuation - base'!D11</f>
        <v>0.05</v>
      </c>
      <c r="E11" s="98">
        <f>'Valuation - base'!E11</f>
        <v>0.05</v>
      </c>
      <c r="F11" s="98">
        <f>'Valuation - base'!F11</f>
        <v>0.05</v>
      </c>
      <c r="G11" s="98">
        <f>'Valuation - base'!G11</f>
        <v>0.05</v>
      </c>
      <c r="H11" s="98">
        <f>'Valuation - base'!H11</f>
        <v>0.05</v>
      </c>
      <c r="I11" s="98">
        <f>'Valuation - base'!I11</f>
        <v>0.05</v>
      </c>
      <c r="J11" s="98">
        <f>'Valuation - base'!J11</f>
        <v>0.05</v>
      </c>
      <c r="L11" s="10" t="s">
        <v>235</v>
      </c>
    </row>
    <row r="12" spans="2:12" x14ac:dyDescent="0.55000000000000004">
      <c r="B12" s="10" t="s">
        <v>236</v>
      </c>
      <c r="C12" s="98">
        <f>'Valuation - base'!C12</f>
        <v>0.2</v>
      </c>
      <c r="D12" s="98">
        <f>'Valuation - base'!D12</f>
        <v>0.2</v>
      </c>
      <c r="E12" s="98">
        <f>'Valuation - base'!E12</f>
        <v>0.2</v>
      </c>
      <c r="F12" s="98">
        <f>'Valuation - base'!F12</f>
        <v>0.2</v>
      </c>
      <c r="G12" s="98">
        <f>'Valuation - base'!G12</f>
        <v>0.2</v>
      </c>
      <c r="H12" s="98">
        <f>'Valuation - base'!H12</f>
        <v>0.2</v>
      </c>
      <c r="I12" s="98">
        <f>'Valuation - base'!I12</f>
        <v>0.2</v>
      </c>
      <c r="J12" s="98">
        <f>'Valuation - base'!J12</f>
        <v>0.2</v>
      </c>
      <c r="L12" s="10" t="s">
        <v>237</v>
      </c>
    </row>
    <row r="13" spans="2:12" ht="14.1" x14ac:dyDescent="0.55000000000000004">
      <c r="B13" s="20" t="s">
        <v>238</v>
      </c>
      <c r="C13" s="97"/>
      <c r="D13" s="97"/>
      <c r="E13" s="97"/>
      <c r="F13" s="97"/>
      <c r="G13" s="97"/>
      <c r="H13" s="97"/>
      <c r="I13" s="97"/>
      <c r="J13" s="97"/>
    </row>
    <row r="14" spans="2:12" x14ac:dyDescent="0.55000000000000004">
      <c r="B14" s="10" t="s">
        <v>239</v>
      </c>
      <c r="C14" s="116">
        <f>'Valuation - base'!C14</f>
        <v>35.933999999999997</v>
      </c>
      <c r="D14" s="116">
        <f>'Valuation - base'!D14</f>
        <v>35.933999999999997</v>
      </c>
      <c r="E14" s="116">
        <f>'Valuation - base'!E14</f>
        <v>35.933999999999997</v>
      </c>
      <c r="F14" s="116">
        <f>'Valuation - base'!F14</f>
        <v>35.933999999999997</v>
      </c>
      <c r="G14" s="116">
        <f>'Valuation - base'!G14</f>
        <v>35.933999999999997</v>
      </c>
      <c r="H14" s="116">
        <f>'Valuation - base'!H14</f>
        <v>35.933999999999997</v>
      </c>
      <c r="I14" s="116">
        <f>'Valuation - base'!I14</f>
        <v>35.933999999999997</v>
      </c>
      <c r="J14" s="116">
        <f>'Valuation - base'!J14</f>
        <v>35.933999999999997</v>
      </c>
      <c r="L14" s="10" t="s">
        <v>233</v>
      </c>
    </row>
    <row r="15" spans="2:12" x14ac:dyDescent="0.55000000000000004">
      <c r="B15" s="10" t="s">
        <v>240</v>
      </c>
      <c r="C15" s="116">
        <f>'Valuation - base'!C15</f>
        <v>20.329000000000001</v>
      </c>
      <c r="D15" s="116">
        <f>'Valuation - base'!D15</f>
        <v>20.329000000000001</v>
      </c>
      <c r="E15" s="116">
        <f>'Valuation - base'!E15</f>
        <v>20.329000000000001</v>
      </c>
      <c r="F15" s="116">
        <f>'Valuation - base'!F15</f>
        <v>20.329000000000001</v>
      </c>
      <c r="G15" s="116">
        <f>'Valuation - base'!G15</f>
        <v>20.329000000000001</v>
      </c>
      <c r="H15" s="116">
        <f>'Valuation - base'!H15</f>
        <v>20.329000000000001</v>
      </c>
      <c r="I15" s="116">
        <f>'Valuation - base'!I15</f>
        <v>20.329000000000001</v>
      </c>
      <c r="J15" s="116">
        <f>'Valuation - base'!J15</f>
        <v>20.329000000000001</v>
      </c>
      <c r="L15" s="10" t="s">
        <v>233</v>
      </c>
    </row>
    <row r="16" spans="2:12" x14ac:dyDescent="0.55000000000000004">
      <c r="B16" s="10" t="s">
        <v>241</v>
      </c>
      <c r="C16" s="116">
        <f>'Valuation - base'!C16</f>
        <v>78.328000000000003</v>
      </c>
      <c r="D16" s="116">
        <f>'Valuation - base'!D16</f>
        <v>78.328000000000003</v>
      </c>
      <c r="E16" s="116">
        <f>'Valuation - base'!E16</f>
        <v>78.328000000000003</v>
      </c>
      <c r="F16" s="116">
        <f>'Valuation - base'!F16</f>
        <v>78.328000000000003</v>
      </c>
      <c r="G16" s="116">
        <f>'Valuation - base'!G16</f>
        <v>78.328000000000003</v>
      </c>
      <c r="H16" s="116">
        <f>'Valuation - base'!H16</f>
        <v>78.328000000000003</v>
      </c>
      <c r="I16" s="116">
        <f>'Valuation - base'!I16</f>
        <v>78.328000000000003</v>
      </c>
      <c r="J16" s="116">
        <f>'Valuation - base'!J16</f>
        <v>78.328000000000003</v>
      </c>
      <c r="L16" s="10" t="s">
        <v>233</v>
      </c>
    </row>
    <row r="17" spans="2:12" x14ac:dyDescent="0.55000000000000004">
      <c r="B17" s="10" t="s">
        <v>242</v>
      </c>
      <c r="C17" s="98">
        <f>'Valuation - base'!C17</f>
        <v>5.8721745624100694E-2</v>
      </c>
      <c r="D17" s="98">
        <f>'Valuation - base'!D17</f>
        <v>5.8721745624100694E-2</v>
      </c>
      <c r="E17" s="98">
        <f>'Valuation - base'!E17</f>
        <v>5.8721745624100694E-2</v>
      </c>
      <c r="F17" s="98">
        <f>'Valuation - base'!F17</f>
        <v>5.8721745624100694E-2</v>
      </c>
      <c r="G17" s="98">
        <f>'Valuation - base'!G17</f>
        <v>5.8721745624100694E-2</v>
      </c>
      <c r="H17" s="98">
        <f>'Valuation - base'!H17</f>
        <v>5.8721745624100694E-2</v>
      </c>
      <c r="I17" s="98">
        <f>'Valuation - base'!I17</f>
        <v>5.8721745624100694E-2</v>
      </c>
      <c r="J17" s="98">
        <f>'Valuation - base'!J17</f>
        <v>5.8721745624100694E-2</v>
      </c>
      <c r="L17" s="10" t="s">
        <v>233</v>
      </c>
    </row>
    <row r="18" spans="2:12" x14ac:dyDescent="0.55000000000000004">
      <c r="B18" s="10" t="s">
        <v>206</v>
      </c>
      <c r="C18" s="98">
        <f>'Valuation - base'!C18</f>
        <v>2.3950365359550363E-2</v>
      </c>
      <c r="D18" s="98">
        <f>'Valuation - base'!D18</f>
        <v>2.3950365359550363E-2</v>
      </c>
      <c r="E18" s="98">
        <f>'Valuation - base'!E18</f>
        <v>2.3950365359550363E-2</v>
      </c>
      <c r="F18" s="98">
        <f>'Valuation - base'!F18</f>
        <v>2.3950365359550363E-2</v>
      </c>
      <c r="G18" s="98">
        <f>'Valuation - base'!G18</f>
        <v>2.3950365359550363E-2</v>
      </c>
      <c r="H18" s="98">
        <f>'Valuation - base'!H18</f>
        <v>2.3950365359550363E-2</v>
      </c>
      <c r="I18" s="98">
        <f>'Valuation - base'!I18</f>
        <v>2.3950365359550363E-2</v>
      </c>
      <c r="J18" s="98">
        <f>'Valuation - base'!J18</f>
        <v>2.3950365359550363E-2</v>
      </c>
      <c r="L18" s="10" t="s">
        <v>233</v>
      </c>
    </row>
    <row r="19" spans="2:12" x14ac:dyDescent="0.55000000000000004">
      <c r="B19" s="10" t="s">
        <v>243</v>
      </c>
      <c r="C19" s="116">
        <f>'Valuation - base'!C19</f>
        <v>83.727000000000004</v>
      </c>
      <c r="D19" s="116">
        <f>'Valuation - base'!D19</f>
        <v>83.727000000000004</v>
      </c>
      <c r="E19" s="116">
        <f>'Valuation - base'!E19</f>
        <v>83.727000000000004</v>
      </c>
      <c r="F19" s="116">
        <f>'Valuation - base'!F19</f>
        <v>83.727000000000004</v>
      </c>
      <c r="G19" s="116">
        <f>'Valuation - base'!G19</f>
        <v>83.727000000000004</v>
      </c>
      <c r="H19" s="116">
        <f>'Valuation - base'!H19</f>
        <v>83.727000000000004</v>
      </c>
      <c r="I19" s="116">
        <f>'Valuation - base'!I19</f>
        <v>83.727000000000004</v>
      </c>
      <c r="J19" s="116">
        <f>'Valuation - base'!J19</f>
        <v>83.727000000000004</v>
      </c>
      <c r="L19" s="10" t="s">
        <v>233</v>
      </c>
    </row>
    <row r="20" spans="2:12" x14ac:dyDescent="0.55000000000000004">
      <c r="B20" s="10" t="s">
        <v>207</v>
      </c>
      <c r="C20" s="98">
        <f>'Valuation - base'!C20</f>
        <v>0.11871482432653953</v>
      </c>
      <c r="D20" s="98">
        <f>'Valuation - base'!D20</f>
        <v>0.11871482432653953</v>
      </c>
      <c r="E20" s="98">
        <f>'Valuation - base'!E20</f>
        <v>0.11871482432653953</v>
      </c>
      <c r="F20" s="98">
        <f>'Valuation - base'!F20</f>
        <v>0.11871482432653953</v>
      </c>
      <c r="G20" s="98">
        <f>'Valuation - base'!G20</f>
        <v>0.11871482432653953</v>
      </c>
      <c r="H20" s="98">
        <f>'Valuation - base'!H20</f>
        <v>0.11871482432653953</v>
      </c>
      <c r="I20" s="98">
        <f>'Valuation - base'!I20</f>
        <v>0.11871482432653953</v>
      </c>
      <c r="J20" s="98">
        <f>'Valuation - base'!J20</f>
        <v>0.11871482432653953</v>
      </c>
      <c r="L20" s="10" t="s">
        <v>233</v>
      </c>
    </row>
    <row r="21" spans="2:12" x14ac:dyDescent="0.55000000000000004">
      <c r="B21" s="10" t="s">
        <v>208</v>
      </c>
      <c r="C21" s="98">
        <f>'Valuation - base'!C21</f>
        <v>0.24944709511143615</v>
      </c>
      <c r="D21" s="98">
        <f>'Valuation - base'!D21</f>
        <v>0.24944709511143615</v>
      </c>
      <c r="E21" s="98">
        <f>'Valuation - base'!E21</f>
        <v>0.24944709511143615</v>
      </c>
      <c r="F21" s="98">
        <f>'Valuation - base'!F21</f>
        <v>0.24944709511143615</v>
      </c>
      <c r="G21" s="98">
        <f>'Valuation - base'!G21</f>
        <v>0.24944709511143615</v>
      </c>
      <c r="H21" s="98">
        <f>'Valuation - base'!H21</f>
        <v>0.24944709511143615</v>
      </c>
      <c r="I21" s="98">
        <f>'Valuation - base'!I21</f>
        <v>0.24944709511143615</v>
      </c>
      <c r="J21" s="98">
        <f>'Valuation - base'!J21</f>
        <v>0.24944709511143615</v>
      </c>
      <c r="L21" s="10" t="s">
        <v>233</v>
      </c>
    </row>
    <row r="22" spans="2:12" x14ac:dyDescent="0.55000000000000004">
      <c r="B22" s="10" t="s">
        <v>209</v>
      </c>
      <c r="C22" s="98">
        <f>'Valuation - base'!C22</f>
        <v>0.29091348734068967</v>
      </c>
      <c r="D22" s="98">
        <f>'Valuation - base'!D22</f>
        <v>0.29091348734068967</v>
      </c>
      <c r="E22" s="98">
        <f>'Valuation - base'!E22</f>
        <v>0.29091348734068967</v>
      </c>
      <c r="F22" s="98">
        <f>'Valuation - base'!F22</f>
        <v>0.29091348734068967</v>
      </c>
      <c r="G22" s="98">
        <f>'Valuation - base'!G22</f>
        <v>0.29091348734068967</v>
      </c>
      <c r="H22" s="98">
        <f>'Valuation - base'!H22</f>
        <v>0.29091348734068967</v>
      </c>
      <c r="I22" s="98">
        <f>'Valuation - base'!I22</f>
        <v>0.29091348734068967</v>
      </c>
      <c r="J22" s="98">
        <f>'Valuation - base'!J22</f>
        <v>0.29091348734068967</v>
      </c>
      <c r="L22" s="10" t="s">
        <v>233</v>
      </c>
    </row>
    <row r="23" spans="2:12" x14ac:dyDescent="0.55000000000000004">
      <c r="B23" s="10" t="s">
        <v>244</v>
      </c>
      <c r="C23" s="116">
        <f>'Valuation - base'!C23</f>
        <v>41.548999999999999</v>
      </c>
      <c r="D23" s="116">
        <f>'Valuation - base'!D23</f>
        <v>41.548999999999999</v>
      </c>
      <c r="E23" s="116">
        <f>'Valuation - base'!E23</f>
        <v>41.548999999999999</v>
      </c>
      <c r="F23" s="116">
        <f>'Valuation - base'!F23</f>
        <v>41.548999999999999</v>
      </c>
      <c r="G23" s="116">
        <f>'Valuation - base'!G23</f>
        <v>41.548999999999999</v>
      </c>
      <c r="H23" s="116">
        <f>'Valuation - base'!H23</f>
        <v>41.548999999999999</v>
      </c>
      <c r="I23" s="116">
        <f>'Valuation - base'!I23</f>
        <v>41.548999999999999</v>
      </c>
      <c r="J23" s="116">
        <f>'Valuation - base'!J23</f>
        <v>41.548999999999999</v>
      </c>
      <c r="L23" s="10" t="s">
        <v>233</v>
      </c>
    </row>
    <row r="24" spans="2:12" ht="14.1" x14ac:dyDescent="0.55000000000000004">
      <c r="B24" s="20" t="s">
        <v>245</v>
      </c>
      <c r="C24" s="97"/>
      <c r="D24" s="97"/>
      <c r="E24" s="97"/>
      <c r="F24" s="97"/>
      <c r="G24" s="97"/>
      <c r="H24" s="97"/>
      <c r="I24" s="97"/>
      <c r="J24" s="97"/>
    </row>
    <row r="25" spans="2:12" x14ac:dyDescent="0.55000000000000004">
      <c r="B25" s="10" t="s">
        <v>246</v>
      </c>
      <c r="C25" s="98">
        <f>'Valuation - base'!C25</f>
        <v>0.05</v>
      </c>
      <c r="D25" s="98">
        <f>'Valuation - base'!D25</f>
        <v>0.05</v>
      </c>
      <c r="E25" s="98">
        <f>'Valuation - base'!E25</f>
        <v>0.05</v>
      </c>
      <c r="F25" s="98">
        <f>'Valuation - base'!F25</f>
        <v>0.05</v>
      </c>
      <c r="G25" s="98">
        <f>'Valuation - base'!G25</f>
        <v>0.05</v>
      </c>
      <c r="H25" s="98">
        <f>'Valuation - base'!H25</f>
        <v>0.05</v>
      </c>
      <c r="I25" s="98">
        <f>'Valuation - base'!I25</f>
        <v>0.05</v>
      </c>
      <c r="J25" s="98">
        <f>'Valuation - base'!J25</f>
        <v>0.05</v>
      </c>
    </row>
    <row r="26" spans="2:12" x14ac:dyDescent="0.55000000000000004">
      <c r="B26" s="10" t="s">
        <v>247</v>
      </c>
      <c r="C26" s="98">
        <f>'Valuation - base'!C26</f>
        <v>0.8</v>
      </c>
      <c r="D26" s="98">
        <f>'Valuation - base'!D26</f>
        <v>0.8</v>
      </c>
      <c r="E26" s="98">
        <f>'Valuation - base'!E26</f>
        <v>0.8</v>
      </c>
      <c r="F26" s="98">
        <f>'Valuation - base'!F26</f>
        <v>0.8</v>
      </c>
      <c r="G26" s="98">
        <f>'Valuation - base'!G26</f>
        <v>0.8</v>
      </c>
      <c r="H26" s="98">
        <f>'Valuation - base'!H26</f>
        <v>0.8</v>
      </c>
      <c r="I26" s="98">
        <f>'Valuation - base'!I26</f>
        <v>0.8</v>
      </c>
      <c r="J26" s="98">
        <f>'Valuation - base'!J26</f>
        <v>0.8</v>
      </c>
    </row>
    <row r="27" spans="2:12" ht="14.1" x14ac:dyDescent="0.55000000000000004">
      <c r="B27" s="10" t="s">
        <v>248</v>
      </c>
      <c r="C27" s="57"/>
      <c r="D27" s="99">
        <f>'Valuation - base'!D27</f>
        <v>20</v>
      </c>
      <c r="E27" s="99">
        <f>'Valuation - base'!E27</f>
        <v>20</v>
      </c>
      <c r="F27" s="99">
        <f>'Valuation - base'!F27</f>
        <v>10</v>
      </c>
      <c r="G27" s="99">
        <f>'Valuation - base'!G27</f>
        <v>10</v>
      </c>
      <c r="H27" s="99"/>
      <c r="I27" s="57"/>
      <c r="J27" s="57"/>
      <c r="L27" s="10" t="s">
        <v>249</v>
      </c>
    </row>
    <row r="28" spans="2:12" x14ac:dyDescent="0.55000000000000004">
      <c r="B28" s="10" t="s">
        <v>250</v>
      </c>
      <c r="C28" s="98">
        <f>'Valuation - base'!C28</f>
        <v>0.03</v>
      </c>
      <c r="D28" s="98">
        <f>'Valuation - base'!D28</f>
        <v>0.05</v>
      </c>
      <c r="E28" s="98">
        <f>'Valuation - base'!E28</f>
        <v>7.0000000000000007E-2</v>
      </c>
      <c r="F28" s="98">
        <f>'Valuation - base'!F28</f>
        <v>7.0000000000000007E-2</v>
      </c>
      <c r="G28" s="98">
        <f>'Valuation - base'!G28</f>
        <v>7.0000000000000007E-2</v>
      </c>
      <c r="H28" s="98">
        <f>'Valuation - base'!H28</f>
        <v>7.0000000000000007E-2</v>
      </c>
      <c r="I28" s="98">
        <f>'Valuation - base'!I28</f>
        <v>7.0000000000000007E-2</v>
      </c>
      <c r="J28" s="98">
        <f>'Valuation - base'!J28</f>
        <v>7.0000000000000007E-2</v>
      </c>
      <c r="L28" s="10" t="s">
        <v>251</v>
      </c>
    </row>
    <row r="29" spans="2:12" x14ac:dyDescent="0.55000000000000004">
      <c r="B29" s="10" t="s">
        <v>252</v>
      </c>
      <c r="C29" s="98">
        <f>'Valuation - base'!C29</f>
        <v>0.8</v>
      </c>
      <c r="D29" s="98">
        <f>'Valuation - base'!D29</f>
        <v>0.8</v>
      </c>
      <c r="E29" s="98">
        <f>'Valuation - base'!E29</f>
        <v>0.8</v>
      </c>
      <c r="F29" s="98">
        <f>'Valuation - base'!F29</f>
        <v>0.8</v>
      </c>
      <c r="G29" s="98">
        <f>'Valuation - base'!G29</f>
        <v>0.8</v>
      </c>
      <c r="H29" s="98">
        <f>'Valuation - base'!H29</f>
        <v>0.8</v>
      </c>
      <c r="I29" s="98">
        <f>'Valuation - base'!I29</f>
        <v>0.8</v>
      </c>
      <c r="J29" s="98">
        <f>'Valuation - base'!J29</f>
        <v>0.8</v>
      </c>
      <c r="L29" s="10" t="s">
        <v>253</v>
      </c>
    </row>
    <row r="30" spans="2:12" x14ac:dyDescent="0.55000000000000004">
      <c r="B30" s="10" t="s">
        <v>254</v>
      </c>
      <c r="C30" s="117">
        <f>'Valuation - base'!C30</f>
        <v>3.5000000000000003E-2</v>
      </c>
      <c r="D30" s="98"/>
      <c r="E30" s="98"/>
      <c r="F30" s="98"/>
      <c r="G30" s="98"/>
      <c r="H30" s="98"/>
      <c r="I30" s="98"/>
      <c r="J30" s="98"/>
    </row>
    <row r="31" spans="2:12" ht="14.1" x14ac:dyDescent="0.55000000000000004">
      <c r="C31" s="57"/>
      <c r="D31" s="57"/>
      <c r="E31" s="57"/>
      <c r="F31" s="57"/>
      <c r="G31" s="57"/>
      <c r="H31" s="57"/>
      <c r="I31" s="57"/>
      <c r="J31" s="57"/>
    </row>
    <row r="32" spans="2:12" ht="14.1" x14ac:dyDescent="0.55000000000000004">
      <c r="B32" s="16"/>
      <c r="C32" s="57" t="str">
        <f>'Valuation - base'!C32</f>
        <v xml:space="preserve">Actual </v>
      </c>
      <c r="D32" s="57" t="str">
        <f>'Valuation - base'!D32</f>
        <v>Forecast</v>
      </c>
      <c r="E32" s="57" t="str">
        <f>'Valuation - base'!E32</f>
        <v>Forecast</v>
      </c>
      <c r="F32" s="57" t="str">
        <f>'Valuation - base'!F32</f>
        <v>Forecast</v>
      </c>
      <c r="G32" s="57" t="str">
        <f>'Valuation - base'!G32</f>
        <v>Forecast</v>
      </c>
      <c r="H32" s="57" t="str">
        <f>'Valuation - base'!H32</f>
        <v>Forecast</v>
      </c>
      <c r="I32" s="57" t="str">
        <f>'Valuation - base'!I32</f>
        <v>Forecast</v>
      </c>
      <c r="J32" s="57" t="str">
        <f>'Valuation - base'!J32</f>
        <v>Forecast</v>
      </c>
    </row>
    <row r="33" spans="2:12" ht="14.1" x14ac:dyDescent="0.55000000000000004">
      <c r="B33" s="20" t="s">
        <v>256</v>
      </c>
      <c r="C33" s="97">
        <f>'Valuation - base'!C33</f>
        <v>2025</v>
      </c>
      <c r="D33" s="97">
        <f>'Valuation - base'!D33</f>
        <v>2026</v>
      </c>
      <c r="E33" s="97">
        <f>'Valuation - base'!E33</f>
        <v>2027</v>
      </c>
      <c r="F33" s="97">
        <f>'Valuation - base'!F33</f>
        <v>2028</v>
      </c>
      <c r="G33" s="97">
        <f>'Valuation - base'!G33</f>
        <v>2029</v>
      </c>
      <c r="H33" s="97">
        <f>'Valuation - base'!H33</f>
        <v>2030</v>
      </c>
      <c r="I33" s="97">
        <f>'Valuation - base'!I33</f>
        <v>2031</v>
      </c>
      <c r="J33" s="97">
        <f>'Valuation - base'!J33</f>
        <v>2032</v>
      </c>
    </row>
    <row r="34" spans="2:12" x14ac:dyDescent="0.55000000000000004">
      <c r="B34" s="11" t="s">
        <v>11</v>
      </c>
      <c r="C34" s="100">
        <f>'Valuation - base'!C34</f>
        <v>416.161</v>
      </c>
      <c r="D34" s="100">
        <f>'Valuation - base'!D34</f>
        <v>487</v>
      </c>
      <c r="E34" s="100">
        <f>'Valuation - base'!E34</f>
        <v>545.28</v>
      </c>
      <c r="F34" s="100">
        <f>'Valuation - base'!F34</f>
        <v>588.45899999999995</v>
      </c>
      <c r="G34" s="100">
        <f>'Valuation - base'!G34</f>
        <v>629.65112999999997</v>
      </c>
      <c r="H34" s="100">
        <f>'Valuation - base'!H34</f>
        <v>667.43019779999997</v>
      </c>
      <c r="I34" s="100">
        <f>'Valuation - base'!I34</f>
        <v>700.80170769000006</v>
      </c>
      <c r="J34" s="100">
        <f>'Valuation - base'!J34</f>
        <v>728.83377599760013</v>
      </c>
      <c r="L34" s="10" t="s">
        <v>257</v>
      </c>
    </row>
    <row r="35" spans="2:12" x14ac:dyDescent="0.55000000000000004">
      <c r="B35" s="11" t="s">
        <v>12</v>
      </c>
      <c r="C35" s="100">
        <f>'Valuation - base'!C35</f>
        <v>-220.96</v>
      </c>
      <c r="D35" s="100">
        <f>'Valuation - base'!D35</f>
        <v>-248.37</v>
      </c>
      <c r="E35" s="100">
        <f>'Valuation - base'!E35</f>
        <v>-267.18719999999996</v>
      </c>
      <c r="F35" s="100">
        <f>'Valuation - base'!F35</f>
        <v>-276.57572999999996</v>
      </c>
      <c r="G35" s="100">
        <f>'Valuation - base'!G35</f>
        <v>-295.93603109999998</v>
      </c>
      <c r="H35" s="100">
        <f>'Valuation - base'!H35</f>
        <v>-313.69219296599999</v>
      </c>
      <c r="I35" s="100">
        <f>'Valuation - base'!I35</f>
        <v>-329.3768026143</v>
      </c>
      <c r="J35" s="100">
        <f>'Valuation - base'!J35</f>
        <v>-342.55187471887206</v>
      </c>
    </row>
    <row r="36" spans="2:12" x14ac:dyDescent="0.55000000000000004">
      <c r="B36" s="11" t="s">
        <v>13</v>
      </c>
      <c r="C36" s="100">
        <f>'Valuation - base'!C36</f>
        <v>195.20099999999999</v>
      </c>
      <c r="D36" s="100">
        <f>'Valuation - base'!D36</f>
        <v>238.63</v>
      </c>
      <c r="E36" s="100">
        <f>'Valuation - base'!E36</f>
        <v>278.09280000000001</v>
      </c>
      <c r="F36" s="100">
        <f>'Valuation - base'!F36</f>
        <v>311.88326999999998</v>
      </c>
      <c r="G36" s="100">
        <f>'Valuation - base'!G36</f>
        <v>333.71509889999999</v>
      </c>
      <c r="H36" s="100">
        <f>'Valuation - base'!H36</f>
        <v>353.73800483399998</v>
      </c>
      <c r="I36" s="100">
        <f>'Valuation - base'!I36</f>
        <v>371.42490507570005</v>
      </c>
      <c r="J36" s="100">
        <f>'Valuation - base'!J36</f>
        <v>386.28190127872807</v>
      </c>
    </row>
    <row r="37" spans="2:12" x14ac:dyDescent="0.55000000000000004">
      <c r="B37" s="44" t="s">
        <v>14</v>
      </c>
      <c r="C37" s="101">
        <f>'Valuation - base'!C37</f>
        <v>-62.1</v>
      </c>
      <c r="D37" s="101">
        <f>'Valuation - base'!D37</f>
        <v>-72.670673128909243</v>
      </c>
      <c r="E37" s="101">
        <f>'Valuation - base'!E37</f>
        <v>-81.367278529223057</v>
      </c>
      <c r="F37" s="101">
        <f>'Valuation - base'!F37</f>
        <v>-87.810496178161813</v>
      </c>
      <c r="G37" s="101">
        <f>'Valuation - base'!G37</f>
        <v>-93.957230910633143</v>
      </c>
      <c r="H37" s="101">
        <f>'Valuation - base'!H37</f>
        <v>-99.594664765271133</v>
      </c>
      <c r="I37" s="101">
        <f>'Valuation - base'!I37</f>
        <v>-104.5743980035347</v>
      </c>
      <c r="J37" s="101">
        <f>'Valuation - base'!J37</f>
        <v>-108.7573739236761</v>
      </c>
    </row>
    <row r="38" spans="2:12" ht="14.1" x14ac:dyDescent="0.55000000000000004">
      <c r="B38" s="12" t="s">
        <v>17</v>
      </c>
      <c r="C38" s="102">
        <f>'Valuation - base'!C38</f>
        <v>133.101</v>
      </c>
      <c r="D38" s="102">
        <f>'Valuation - base'!D38</f>
        <v>165.95932687109075</v>
      </c>
      <c r="E38" s="102">
        <f>'Valuation - base'!E38</f>
        <v>196.72552147077695</v>
      </c>
      <c r="F38" s="102">
        <f>'Valuation - base'!F38</f>
        <v>224.07277382183815</v>
      </c>
      <c r="G38" s="102">
        <f>'Valuation - base'!G38</f>
        <v>239.75786798936684</v>
      </c>
      <c r="H38" s="102">
        <f>'Valuation - base'!H38</f>
        <v>254.14334006872883</v>
      </c>
      <c r="I38" s="102">
        <f>'Valuation - base'!I38</f>
        <v>266.85050707216533</v>
      </c>
      <c r="J38" s="102">
        <f>'Valuation - base'!J38</f>
        <v>277.52452735505199</v>
      </c>
    </row>
    <row r="39" spans="2:12" x14ac:dyDescent="0.55000000000000004">
      <c r="B39" s="11" t="s">
        <v>234</v>
      </c>
      <c r="C39" s="100">
        <f>'Valuation - base'!C39</f>
        <v>0</v>
      </c>
      <c r="D39" s="100">
        <f>'Valuation - base'!D39</f>
        <v>2.8945799999999999</v>
      </c>
      <c r="E39" s="100">
        <f>'Valuation - base'!E39</f>
        <v>2.8527106061078293</v>
      </c>
      <c r="F39" s="100">
        <f>'Valuation - base'!F39</f>
        <v>2.2824596530139378</v>
      </c>
      <c r="G39" s="100">
        <f>'Valuation - base'!G39</f>
        <v>2.1398552409162495</v>
      </c>
      <c r="H39" s="100">
        <f>'Valuation - base'!H39</f>
        <v>2.260920450336771</v>
      </c>
      <c r="I39" s="100">
        <f>'Valuation - base'!I39</f>
        <v>2.8107625917558789</v>
      </c>
      <c r="J39" s="100">
        <f>'Valuation - base'!J39</f>
        <v>3.3956527939049921</v>
      </c>
    </row>
    <row r="40" spans="2:12" x14ac:dyDescent="0.55000000000000004">
      <c r="B40" s="11" t="s">
        <v>143</v>
      </c>
      <c r="C40" s="100">
        <f>'Valuation - base'!C40</f>
        <v>0</v>
      </c>
      <c r="D40" s="100">
        <f>'Valuation - base'!D40</f>
        <v>-4.9328500000000011</v>
      </c>
      <c r="E40" s="100">
        <f>'Valuation - base'!E40</f>
        <v>-4.9328500000000011</v>
      </c>
      <c r="F40" s="100">
        <f>'Valuation - base'!F40</f>
        <v>-4.9328500000000011</v>
      </c>
      <c r="G40" s="100">
        <f>'Valuation - base'!G40</f>
        <v>-4.9328500000000011</v>
      </c>
      <c r="H40" s="100">
        <f>'Valuation - base'!H40</f>
        <v>-4.9328500000000011</v>
      </c>
      <c r="I40" s="100">
        <f>'Valuation - base'!I40</f>
        <v>-4.9328500000000011</v>
      </c>
      <c r="J40" s="100">
        <f>'Valuation - base'!J40</f>
        <v>-4.9328500000000011</v>
      </c>
    </row>
    <row r="41" spans="2:12" x14ac:dyDescent="0.55000000000000004">
      <c r="B41" s="11" t="s">
        <v>19</v>
      </c>
      <c r="C41" s="100">
        <f>'Valuation - base'!C41</f>
        <v>132.72900000000001</v>
      </c>
      <c r="D41" s="100">
        <f>'Valuation - base'!D41</f>
        <v>163.92105687109074</v>
      </c>
      <c r="E41" s="100">
        <f>'Valuation - base'!E41</f>
        <v>194.64538207688477</v>
      </c>
      <c r="F41" s="100">
        <f>'Valuation - base'!F41</f>
        <v>221.4223834748521</v>
      </c>
      <c r="G41" s="100">
        <f>'Valuation - base'!G41</f>
        <v>236.9648732302831</v>
      </c>
      <c r="H41" s="100">
        <f>'Valuation - base'!H41</f>
        <v>251.47141051906559</v>
      </c>
      <c r="I41" s="100">
        <f>'Valuation - base'!I41</f>
        <v>264.72841966392122</v>
      </c>
      <c r="J41" s="100">
        <f>'Valuation - base'!J41</f>
        <v>275.98733014895703</v>
      </c>
    </row>
    <row r="42" spans="2:12" x14ac:dyDescent="0.55000000000000004">
      <c r="B42" s="44" t="s">
        <v>20</v>
      </c>
      <c r="C42" s="101">
        <f>'Valuation - base'!C42</f>
        <v>-20.719000000000001</v>
      </c>
      <c r="D42" s="101">
        <f>'Valuation - base'!D42</f>
        <v>-32.784211374218152</v>
      </c>
      <c r="E42" s="101">
        <f>'Valuation - base'!E42</f>
        <v>-38.929076415376954</v>
      </c>
      <c r="F42" s="101">
        <f>'Valuation - base'!F42</f>
        <v>-44.284476694970422</v>
      </c>
      <c r="G42" s="101">
        <f>'Valuation - base'!G42</f>
        <v>-47.392974646056622</v>
      </c>
      <c r="H42" s="101">
        <f>'Valuation - base'!H42</f>
        <v>-50.294282103813117</v>
      </c>
      <c r="I42" s="101">
        <f>'Valuation - base'!I42</f>
        <v>-52.945683932784249</v>
      </c>
      <c r="J42" s="101">
        <f>'Valuation - base'!J42</f>
        <v>-55.197466029791407</v>
      </c>
    </row>
    <row r="43" spans="2:12" ht="14.1" x14ac:dyDescent="0.55000000000000004">
      <c r="B43" s="12" t="s">
        <v>21</v>
      </c>
      <c r="C43" s="102">
        <f>'Valuation - base'!C43</f>
        <v>112.01000000000002</v>
      </c>
      <c r="D43" s="102">
        <f>'Valuation - base'!D43</f>
        <v>131.13684549687258</v>
      </c>
      <c r="E43" s="102">
        <f>'Valuation - base'!E43</f>
        <v>155.71630566150782</v>
      </c>
      <c r="F43" s="102">
        <f>'Valuation - base'!F43</f>
        <v>177.13790677988169</v>
      </c>
      <c r="G43" s="102">
        <f>'Valuation - base'!G43</f>
        <v>189.57189858422649</v>
      </c>
      <c r="H43" s="102">
        <f>'Valuation - base'!H43</f>
        <v>201.17712841525247</v>
      </c>
      <c r="I43" s="102">
        <f>'Valuation - base'!I43</f>
        <v>211.78273573113697</v>
      </c>
      <c r="J43" s="102">
        <f>'Valuation - base'!J43</f>
        <v>220.78986411916563</v>
      </c>
    </row>
    <row r="44" spans="2:12" ht="14.1" x14ac:dyDescent="0.55000000000000004">
      <c r="B44" s="11"/>
      <c r="C44" s="57"/>
      <c r="D44" s="57"/>
      <c r="E44" s="57"/>
      <c r="F44" s="57"/>
      <c r="G44" s="57"/>
      <c r="H44" s="57"/>
      <c r="I44" s="57"/>
      <c r="J44" s="57"/>
    </row>
    <row r="45" spans="2:12" ht="14.1" x14ac:dyDescent="0.55000000000000004">
      <c r="B45" s="12"/>
      <c r="C45" s="57" t="str">
        <f>'Valuation - base'!C45</f>
        <v>Actual</v>
      </c>
      <c r="D45" s="57" t="str">
        <f>'Valuation - base'!D45</f>
        <v>Forecast</v>
      </c>
      <c r="E45" s="57" t="str">
        <f>'Valuation - base'!E45</f>
        <v>Forecast</v>
      </c>
      <c r="F45" s="57" t="str">
        <f>'Valuation - base'!F45</f>
        <v>Forecast</v>
      </c>
      <c r="G45" s="57" t="str">
        <f>'Valuation - base'!G45</f>
        <v>Forecast</v>
      </c>
      <c r="H45" s="57" t="str">
        <f>'Valuation - base'!H45</f>
        <v>Forecast</v>
      </c>
      <c r="I45" s="57" t="str">
        <f>'Valuation - base'!I45</f>
        <v>Forecast</v>
      </c>
      <c r="J45" s="57" t="str">
        <f>'Valuation - base'!J45</f>
        <v>Forecast</v>
      </c>
    </row>
    <row r="46" spans="2:12" ht="14.1" x14ac:dyDescent="0.55000000000000004">
      <c r="B46" s="27" t="s">
        <v>258</v>
      </c>
      <c r="C46" s="97">
        <f>'Valuation - base'!C46</f>
        <v>2025</v>
      </c>
      <c r="D46" s="97">
        <f>'Valuation - base'!D46</f>
        <v>2026</v>
      </c>
      <c r="E46" s="97">
        <f>'Valuation - base'!E46</f>
        <v>2027</v>
      </c>
      <c r="F46" s="97">
        <f>'Valuation - base'!F46</f>
        <v>2028</v>
      </c>
      <c r="G46" s="97">
        <f>'Valuation - base'!G46</f>
        <v>2029</v>
      </c>
      <c r="H46" s="97">
        <f>'Valuation - base'!H46</f>
        <v>2030</v>
      </c>
      <c r="I46" s="97">
        <f>'Valuation - base'!I46</f>
        <v>2031</v>
      </c>
      <c r="J46" s="97">
        <f>'Valuation - base'!J46</f>
        <v>2032</v>
      </c>
    </row>
    <row r="47" spans="2:12" x14ac:dyDescent="0.55000000000000004">
      <c r="B47" s="11" t="s">
        <v>259</v>
      </c>
      <c r="C47" s="100">
        <f>'Valuation - base'!C47</f>
        <v>35.933999999999997</v>
      </c>
      <c r="D47" s="100">
        <f>'Valuation - base'!D47</f>
        <v>35.933999999999997</v>
      </c>
      <c r="E47" s="100">
        <f>'Valuation - base'!E47</f>
        <v>35.933999999999997</v>
      </c>
      <c r="F47" s="100">
        <f>'Valuation - base'!F47</f>
        <v>35.933999999999997</v>
      </c>
      <c r="G47" s="100">
        <f>'Valuation - base'!G47</f>
        <v>35.933999999999997</v>
      </c>
      <c r="H47" s="100">
        <f>'Valuation - base'!H47</f>
        <v>35.933999999999997</v>
      </c>
      <c r="I47" s="100">
        <f>'Valuation - base'!I47</f>
        <v>35.933999999999997</v>
      </c>
      <c r="J47" s="100">
        <f>'Valuation - base'!J47</f>
        <v>35.933999999999997</v>
      </c>
    </row>
    <row r="48" spans="2:12" x14ac:dyDescent="0.55000000000000004">
      <c r="B48" s="11" t="s">
        <v>260</v>
      </c>
      <c r="C48" s="100">
        <f>'Valuation - base'!C48</f>
        <v>96.486000000000004</v>
      </c>
      <c r="D48" s="100">
        <f>'Valuation - base'!D48</f>
        <v>71.317765152695728</v>
      </c>
      <c r="E48" s="100">
        <f>'Valuation - base'!E48</f>
        <v>57.061491325348442</v>
      </c>
      <c r="F48" s="100">
        <f>'Valuation - base'!F48</f>
        <v>53.496381022906235</v>
      </c>
      <c r="G48" s="100">
        <f>'Valuation - base'!G48</f>
        <v>56.523011258419274</v>
      </c>
      <c r="H48" s="100">
        <f>'Valuation - base'!H48</f>
        <v>70.269064793896973</v>
      </c>
      <c r="I48" s="100">
        <f>'Valuation - base'!I48</f>
        <v>84.8913198476248</v>
      </c>
      <c r="J48" s="100">
        <f>'Valuation - base'!J48</f>
        <v>99.961390220563885</v>
      </c>
      <c r="L48" s="10" t="s">
        <v>261</v>
      </c>
    </row>
    <row r="49" spans="2:12" x14ac:dyDescent="0.55000000000000004">
      <c r="B49" s="11" t="s">
        <v>262</v>
      </c>
      <c r="C49" s="100">
        <f>'Valuation - base'!C49</f>
        <v>39.777000000000001</v>
      </c>
      <c r="D49" s="100">
        <f>'Valuation - base'!D49</f>
        <v>28.597490118937039</v>
      </c>
      <c r="E49" s="100">
        <f>'Valuation - base'!E49</f>
        <v>32.019793453909628</v>
      </c>
      <c r="F49" s="100">
        <f>'Valuation - base'!F49</f>
        <v>34.555339708212664</v>
      </c>
      <c r="G49" s="100">
        <f>'Valuation - base'!G49</f>
        <v>36.974213487787551</v>
      </c>
      <c r="H49" s="100">
        <f>'Valuation - base'!H49</f>
        <v>39.192666297054807</v>
      </c>
      <c r="I49" s="100">
        <f>'Valuation - base'!I49</f>
        <v>41.152299611907551</v>
      </c>
      <c r="J49" s="100">
        <f>'Valuation - base'!J49</f>
        <v>42.798391596383858</v>
      </c>
    </row>
    <row r="50" spans="2:12" x14ac:dyDescent="0.55000000000000004">
      <c r="B50" s="11" t="s">
        <v>263</v>
      </c>
      <c r="C50" s="100">
        <f>'Valuation - base'!C50</f>
        <v>5.718</v>
      </c>
      <c r="D50" s="100">
        <f>'Valuation - base'!D50</f>
        <v>5.9485522443515242</v>
      </c>
      <c r="E50" s="100">
        <f>'Valuation - base'!E50</f>
        <v>6.3992310593952535</v>
      </c>
      <c r="F50" s="100">
        <f>'Valuation - base'!F50</f>
        <v>6.6240897830843535</v>
      </c>
      <c r="G50" s="100">
        <f>'Valuation - base'!G50</f>
        <v>7.0877760679002586</v>
      </c>
      <c r="H50" s="100">
        <f>'Valuation - base'!H50</f>
        <v>7.5130426319742742</v>
      </c>
      <c r="I50" s="100">
        <f>'Valuation - base'!I50</f>
        <v>7.888694763572988</v>
      </c>
      <c r="J50" s="100">
        <f>'Valuation - base'!J50</f>
        <v>8.2042425541159094</v>
      </c>
    </row>
    <row r="51" spans="2:12" x14ac:dyDescent="0.55000000000000004">
      <c r="B51" s="11" t="s">
        <v>264</v>
      </c>
      <c r="C51" s="100">
        <f>'Valuation - base'!C51</f>
        <v>47.765000000000001</v>
      </c>
      <c r="D51" s="100">
        <f>'Valuation - base'!D51</f>
        <v>57.814119447024751</v>
      </c>
      <c r="E51" s="100">
        <f>'Valuation - base'!E51</f>
        <v>64.73281940877547</v>
      </c>
      <c r="F51" s="100">
        <f>'Valuation - base'!F51</f>
        <v>69.858806808371114</v>
      </c>
      <c r="G51" s="100">
        <f>'Valuation - base'!G51</f>
        <v>74.748923284957101</v>
      </c>
      <c r="H51" s="100">
        <f>'Valuation - base'!H51</f>
        <v>79.233858682054532</v>
      </c>
      <c r="I51" s="100">
        <f>'Valuation - base'!I51</f>
        <v>83.19555161615726</v>
      </c>
      <c r="J51" s="100">
        <f>'Valuation - base'!J51</f>
        <v>86.523373680803559</v>
      </c>
    </row>
    <row r="52" spans="2:12" x14ac:dyDescent="0.55000000000000004">
      <c r="B52" s="11" t="s">
        <v>265</v>
      </c>
      <c r="C52" s="100">
        <f>'Valuation - base'!C52</f>
        <v>49.834000000000003</v>
      </c>
      <c r="D52" s="100">
        <f>'Valuation - base'!D52</f>
        <v>55.286799999999999</v>
      </c>
      <c r="E52" s="100">
        <f>'Valuation - base'!E52</f>
        <v>63.525225999999989</v>
      </c>
      <c r="F52" s="100">
        <f>'Valuation - base'!F52</f>
        <v>72.340341819999992</v>
      </c>
      <c r="G52" s="100">
        <f>'Valuation - base'!G52</f>
        <v>81.684364589199987</v>
      </c>
      <c r="H52" s="100">
        <f>'Valuation - base'!H52</f>
        <v>91.495588496859995</v>
      </c>
      <c r="I52" s="100">
        <f>'Valuation - base'!I52</f>
        <v>101.30681240452</v>
      </c>
      <c r="J52" s="100">
        <f>'Valuation - base'!J52</f>
        <v>111.11803631218001</v>
      </c>
      <c r="L52" s="10" t="s">
        <v>266</v>
      </c>
    </row>
    <row r="53" spans="2:12" x14ac:dyDescent="0.55000000000000004">
      <c r="B53" s="11" t="s">
        <v>267</v>
      </c>
      <c r="C53" s="101">
        <f>'Valuation - base'!C53</f>
        <v>83.727000000000004</v>
      </c>
      <c r="D53" s="101">
        <f>'Valuation - base'!D53</f>
        <v>83.727000000000004</v>
      </c>
      <c r="E53" s="101">
        <f>'Valuation - base'!E53</f>
        <v>83.727000000000004</v>
      </c>
      <c r="F53" s="101">
        <f>'Valuation - base'!F53</f>
        <v>83.727000000000004</v>
      </c>
      <c r="G53" s="101">
        <f>'Valuation - base'!G53</f>
        <v>83.727000000000004</v>
      </c>
      <c r="H53" s="101">
        <f>'Valuation - base'!H53</f>
        <v>83.727000000000004</v>
      </c>
      <c r="I53" s="101">
        <f>'Valuation - base'!I53</f>
        <v>83.727000000000004</v>
      </c>
      <c r="J53" s="101">
        <f>'Valuation - base'!J53</f>
        <v>83.727000000000004</v>
      </c>
    </row>
    <row r="54" spans="2:12" ht="14.1" x14ac:dyDescent="0.55000000000000004">
      <c r="B54" s="47" t="s">
        <v>23</v>
      </c>
      <c r="C54" s="102">
        <f>'Valuation - base'!C54</f>
        <v>359.24099999999999</v>
      </c>
      <c r="D54" s="102">
        <f>'Valuation - base'!D54</f>
        <v>338.62572696300901</v>
      </c>
      <c r="E54" s="102">
        <f>'Valuation - base'!E54</f>
        <v>343.39956124742878</v>
      </c>
      <c r="F54" s="102">
        <f>'Valuation - base'!F54</f>
        <v>356.53595914257437</v>
      </c>
      <c r="G54" s="102">
        <f>'Valuation - base'!G54</f>
        <v>376.67928868826414</v>
      </c>
      <c r="H54" s="102">
        <f>'Valuation - base'!H54</f>
        <v>407.36522090184053</v>
      </c>
      <c r="I54" s="102">
        <f>'Valuation - base'!I54</f>
        <v>438.09567824378257</v>
      </c>
      <c r="J54" s="102">
        <f>'Valuation - base'!J54</f>
        <v>468.2664343640472</v>
      </c>
    </row>
    <row r="55" spans="2:12" ht="14.1" x14ac:dyDescent="0.55000000000000004">
      <c r="B55" s="12"/>
      <c r="C55" s="57"/>
      <c r="D55" s="57"/>
      <c r="E55" s="57"/>
      <c r="F55" s="57"/>
      <c r="G55" s="57"/>
      <c r="H55" s="57"/>
      <c r="I55" s="57"/>
      <c r="J55" s="57"/>
    </row>
    <row r="56" spans="2:12" x14ac:dyDescent="0.55000000000000004">
      <c r="B56" s="11" t="s">
        <v>112</v>
      </c>
      <c r="C56" s="100">
        <f>'Valuation - base'!C56</f>
        <v>69.86</v>
      </c>
      <c r="D56" s="100">
        <f>'Valuation - base'!D56</f>
        <v>61.955175012827397</v>
      </c>
      <c r="E56" s="100">
        <f>'Valuation - base'!E56</f>
        <v>66.649070890958299</v>
      </c>
      <c r="F56" s="100">
        <f>'Valuation - base'!F56</f>
        <v>68.991012426824881</v>
      </c>
      <c r="G56" s="100">
        <f>'Valuation - base'!G56</f>
        <v>73.820383296702616</v>
      </c>
      <c r="H56" s="100">
        <f>'Valuation - base'!H56</f>
        <v>78.249606294504787</v>
      </c>
      <c r="I56" s="100">
        <f>'Valuation - base'!I56</f>
        <v>82.162086609230016</v>
      </c>
      <c r="J56" s="100">
        <f>'Valuation - base'!J56</f>
        <v>85.448570073599242</v>
      </c>
    </row>
    <row r="57" spans="2:12" x14ac:dyDescent="0.55000000000000004">
      <c r="B57" s="11" t="s">
        <v>268</v>
      </c>
      <c r="C57" s="100">
        <f>'Valuation - base'!C57</f>
        <v>75.442000000000007</v>
      </c>
      <c r="D57" s="100">
        <f>'Valuation - base'!D57</f>
        <v>72.254182850807098</v>
      </c>
      <c r="E57" s="100">
        <f>'Valuation - base'!E57</f>
        <v>77.728360124794307</v>
      </c>
      <c r="F57" s="100">
        <f>'Valuation - base'!F57</f>
        <v>80.459610128096998</v>
      </c>
      <c r="G57" s="100">
        <f>'Valuation - base'!G57</f>
        <v>86.091782837063789</v>
      </c>
      <c r="H57" s="100">
        <f>'Valuation - base'!H57</f>
        <v>91.25728980728762</v>
      </c>
      <c r="I57" s="100">
        <f>'Valuation - base'!I57</f>
        <v>95.82015429765201</v>
      </c>
      <c r="J57" s="100">
        <f>'Valuation - base'!J57</f>
        <v>99.652960469558096</v>
      </c>
    </row>
    <row r="58" spans="2:12" x14ac:dyDescent="0.55000000000000004">
      <c r="B58" s="11" t="s">
        <v>140</v>
      </c>
      <c r="C58" s="100">
        <f>'Valuation - base'!C58</f>
        <v>20.329000000000001</v>
      </c>
      <c r="D58" s="100">
        <f>'Valuation - base'!D58</f>
        <v>20.329000000000001</v>
      </c>
      <c r="E58" s="100">
        <f>'Valuation - base'!E58</f>
        <v>20.329000000000001</v>
      </c>
      <c r="F58" s="100">
        <f>'Valuation - base'!F58</f>
        <v>20.329000000000001</v>
      </c>
      <c r="G58" s="100">
        <f>'Valuation - base'!G58</f>
        <v>20.329000000000001</v>
      </c>
      <c r="H58" s="100">
        <f>'Valuation - base'!H58</f>
        <v>20.329000000000001</v>
      </c>
      <c r="I58" s="100">
        <f>'Valuation - base'!I58</f>
        <v>20.329000000000001</v>
      </c>
      <c r="J58" s="100">
        <f>'Valuation - base'!J58</f>
        <v>20.329000000000001</v>
      </c>
    </row>
    <row r="59" spans="2:12" x14ac:dyDescent="0.55000000000000004">
      <c r="B59" s="11" t="s">
        <v>269</v>
      </c>
      <c r="C59" s="100">
        <f>'Valuation - base'!C59</f>
        <v>78.328000000000003</v>
      </c>
      <c r="D59" s="100">
        <f>'Valuation - base'!D59</f>
        <v>78.328000000000003</v>
      </c>
      <c r="E59" s="100">
        <f>'Valuation - base'!E59</f>
        <v>78.328000000000003</v>
      </c>
      <c r="F59" s="100">
        <f>'Valuation - base'!F59</f>
        <v>78.328000000000003</v>
      </c>
      <c r="G59" s="100">
        <f>'Valuation - base'!G59</f>
        <v>78.328000000000003</v>
      </c>
      <c r="H59" s="100">
        <f>'Valuation - base'!H59</f>
        <v>78.328000000000003</v>
      </c>
      <c r="I59" s="100">
        <f>'Valuation - base'!I59</f>
        <v>78.328000000000003</v>
      </c>
      <c r="J59" s="100">
        <f>'Valuation - base'!J59</f>
        <v>78.328000000000003</v>
      </c>
    </row>
    <row r="60" spans="2:12" x14ac:dyDescent="0.55000000000000004">
      <c r="B60" s="11" t="s">
        <v>270</v>
      </c>
      <c r="C60" s="100">
        <f>'Valuation - base'!C60</f>
        <v>41.548999999999999</v>
      </c>
      <c r="D60" s="100">
        <f>'Valuation - base'!D60</f>
        <v>41.548999999999999</v>
      </c>
      <c r="E60" s="100">
        <f>'Valuation - base'!E60</f>
        <v>41.548999999999999</v>
      </c>
      <c r="F60" s="100">
        <f>'Valuation - base'!F60</f>
        <v>41.548999999999999</v>
      </c>
      <c r="G60" s="100">
        <f>'Valuation - base'!G60</f>
        <v>41.548999999999999</v>
      </c>
      <c r="H60" s="100">
        <f>'Valuation - base'!H60</f>
        <v>41.548999999999999</v>
      </c>
      <c r="I60" s="100">
        <f>'Valuation - base'!I60</f>
        <v>41.548999999999999</v>
      </c>
      <c r="J60" s="100">
        <f>'Valuation - base'!J60</f>
        <v>41.548999999999999</v>
      </c>
    </row>
    <row r="61" spans="2:12" x14ac:dyDescent="0.55000000000000004">
      <c r="B61" s="11" t="s">
        <v>271</v>
      </c>
      <c r="C61" s="100">
        <f>'Valuation - base'!C61</f>
        <v>285.50800000000004</v>
      </c>
      <c r="D61" s="100">
        <f>'Valuation - base'!D61</f>
        <v>274.41535786363448</v>
      </c>
      <c r="E61" s="100">
        <f>'Valuation - base'!E61</f>
        <v>284.58343101575264</v>
      </c>
      <c r="F61" s="100">
        <f>'Valuation - base'!F61</f>
        <v>289.65662255492191</v>
      </c>
      <c r="G61" s="100">
        <f>'Valuation - base'!G61</f>
        <v>300.11816613376641</v>
      </c>
      <c r="H61" s="100">
        <f>'Valuation - base'!H61</f>
        <v>309.71289610179235</v>
      </c>
      <c r="I61" s="100">
        <f>'Valuation - base'!I61</f>
        <v>318.18824090688202</v>
      </c>
      <c r="J61" s="100">
        <f>'Valuation - base'!J61</f>
        <v>325.30753054315733</v>
      </c>
    </row>
    <row r="62" spans="2:12" x14ac:dyDescent="0.55000000000000004">
      <c r="B62" s="11" t="s">
        <v>272</v>
      </c>
      <c r="C62" s="101">
        <f>'Valuation - base'!C62</f>
        <v>73.733000000000004</v>
      </c>
      <c r="D62" s="101">
        <f>'Valuation - base'!D62</f>
        <v>64.210369099374518</v>
      </c>
      <c r="E62" s="101">
        <f>'Valuation - base'!E62</f>
        <v>58.816130231676112</v>
      </c>
      <c r="F62" s="101">
        <f>'Valuation - base'!F62</f>
        <v>66.87933658765246</v>
      </c>
      <c r="G62" s="101">
        <f>'Valuation - base'!G62</f>
        <v>76.561122554497729</v>
      </c>
      <c r="H62" s="101">
        <f>'Valuation - base'!H62</f>
        <v>97.652324800048234</v>
      </c>
      <c r="I62" s="101">
        <f>'Valuation - base'!I62</f>
        <v>119.90743733690056</v>
      </c>
      <c r="J62" s="101">
        <f>'Valuation - base'!J62</f>
        <v>142.9589038208899</v>
      </c>
      <c r="L62" s="10" t="s">
        <v>273</v>
      </c>
    </row>
    <row r="63" spans="2:12" ht="14.1" x14ac:dyDescent="0.55000000000000004">
      <c r="B63" s="47" t="s">
        <v>274</v>
      </c>
      <c r="C63" s="102">
        <f>'Valuation - base'!C63</f>
        <v>359.24100000000004</v>
      </c>
      <c r="D63" s="102">
        <f>'Valuation - base'!D63</f>
        <v>338.62572696300901</v>
      </c>
      <c r="E63" s="102">
        <f>'Valuation - base'!E63</f>
        <v>343.39956124742878</v>
      </c>
      <c r="F63" s="102">
        <f>'Valuation - base'!F63</f>
        <v>356.53595914257437</v>
      </c>
      <c r="G63" s="102">
        <f>'Valuation - base'!G63</f>
        <v>376.67928868826414</v>
      </c>
      <c r="H63" s="102">
        <f>'Valuation - base'!H63</f>
        <v>407.36522090184059</v>
      </c>
      <c r="I63" s="102">
        <f>'Valuation - base'!I63</f>
        <v>438.09567824378257</v>
      </c>
      <c r="J63" s="102">
        <f>'Valuation - base'!J63</f>
        <v>468.2664343640472</v>
      </c>
    </row>
    <row r="64" spans="2:12" ht="14.1" x14ac:dyDescent="0.55000000000000004">
      <c r="C64" s="57"/>
      <c r="D64" s="57"/>
      <c r="E64" s="57"/>
      <c r="F64" s="57"/>
      <c r="G64" s="57"/>
      <c r="H64" s="57"/>
      <c r="I64" s="57"/>
      <c r="J64" s="57"/>
    </row>
    <row r="65" spans="2:11" ht="14.1" x14ac:dyDescent="0.55000000000000004">
      <c r="B65" s="27" t="s">
        <v>275</v>
      </c>
      <c r="C65" s="97"/>
      <c r="D65" s="97"/>
      <c r="E65" s="97"/>
      <c r="F65" s="97"/>
      <c r="G65" s="97"/>
      <c r="H65" s="97"/>
      <c r="I65" s="97"/>
      <c r="J65" s="97"/>
    </row>
    <row r="66" spans="2:11" x14ac:dyDescent="0.55000000000000004">
      <c r="B66" s="11" t="s">
        <v>147</v>
      </c>
      <c r="C66" s="100"/>
      <c r="D66" s="100">
        <f>'Valuation - base'!D66</f>
        <v>27.263999999999999</v>
      </c>
      <c r="E66" s="100">
        <f>'Valuation - base'!E66</f>
        <v>41.192129999999999</v>
      </c>
      <c r="F66" s="100">
        <f>'Valuation - base'!F66</f>
        <v>44.075579099999999</v>
      </c>
      <c r="G66" s="100">
        <f>'Valuation - base'!G66</f>
        <v>46.720113846000004</v>
      </c>
      <c r="H66" s="100">
        <f>'Valuation - base'!H66</f>
        <v>49.05611953830001</v>
      </c>
      <c r="I66" s="100">
        <f>'Valuation - base'!I66</f>
        <v>49.05611953830001</v>
      </c>
      <c r="J66" s="100">
        <f>'Valuation - base'!J66</f>
        <v>49.05611953830001</v>
      </c>
      <c r="K66" s="100"/>
    </row>
    <row r="67" spans="2:11" x14ac:dyDescent="0.55000000000000004">
      <c r="B67" s="11" t="s">
        <v>276</v>
      </c>
      <c r="C67" s="100"/>
      <c r="D67" s="100">
        <f>'Valuation - base'!D67</f>
        <v>21.811199999999999</v>
      </c>
      <c r="E67" s="100">
        <f>'Valuation - base'!E67</f>
        <v>32.953704000000002</v>
      </c>
      <c r="F67" s="100">
        <f>'Valuation - base'!F67</f>
        <v>35.260463280000003</v>
      </c>
      <c r="G67" s="100">
        <f>'Valuation - base'!G67</f>
        <v>37.376091076800002</v>
      </c>
      <c r="H67" s="100">
        <f>'Valuation - base'!H67</f>
        <v>39.244895630640009</v>
      </c>
      <c r="I67" s="100">
        <f>'Valuation - base'!I67</f>
        <v>39.244895630640009</v>
      </c>
      <c r="J67" s="100">
        <f>'Valuation - base'!J67</f>
        <v>39.244895630640009</v>
      </c>
      <c r="K67" s="100"/>
    </row>
    <row r="68" spans="2:11" x14ac:dyDescent="0.55000000000000004">
      <c r="B68" s="11" t="s">
        <v>144</v>
      </c>
      <c r="C68" s="100">
        <f>'Valuation - base'!C68</f>
        <v>15</v>
      </c>
      <c r="D68" s="100">
        <f>'Valuation - base'!D68</f>
        <v>15.75</v>
      </c>
      <c r="E68" s="100">
        <f>'Valuation - base'!E68</f>
        <v>16.537500000000001</v>
      </c>
      <c r="F68" s="100">
        <f>'Valuation - base'!F68</f>
        <v>17.364375000000003</v>
      </c>
      <c r="G68" s="100">
        <f>'Valuation - base'!G68</f>
        <v>18.232593750000003</v>
      </c>
      <c r="H68" s="100">
        <f>'Valuation - base'!H68</f>
        <v>19.144223437500003</v>
      </c>
      <c r="I68" s="100">
        <f>'Valuation - base'!I68</f>
        <v>20.101434609375005</v>
      </c>
      <c r="J68" s="100">
        <f>'Valuation - base'!J68</f>
        <v>21.106506339843754</v>
      </c>
      <c r="K68" s="100"/>
    </row>
    <row r="69" spans="2:11" x14ac:dyDescent="0.55000000000000004">
      <c r="B69" s="11" t="s">
        <v>277</v>
      </c>
      <c r="C69" s="100"/>
      <c r="D69" s="100">
        <f>'Valuation - base'!D69</f>
        <v>124.90947639749807</v>
      </c>
      <c r="E69" s="100">
        <f>'Valuation - base'!E69</f>
        <v>144.57304452920624</v>
      </c>
      <c r="F69" s="100">
        <f>'Valuation - base'!F69</f>
        <v>151.71032542390535</v>
      </c>
      <c r="G69" s="100">
        <f>'Valuation - base'!G69</f>
        <v>161.65751886738119</v>
      </c>
      <c r="H69" s="100">
        <f>'Valuation - base'!H69</f>
        <v>160.94170273220197</v>
      </c>
      <c r="I69" s="100">
        <f>'Valuation - base'!I69</f>
        <v>169.4261885849096</v>
      </c>
      <c r="J69" s="100">
        <f>'Valuation - base'!J69</f>
        <v>176.63189129533251</v>
      </c>
      <c r="K69" s="100"/>
    </row>
    <row r="70" spans="2:11" x14ac:dyDescent="0.55000000000000004">
      <c r="B70" s="11"/>
      <c r="C70" s="100"/>
      <c r="D70" s="100"/>
      <c r="E70" s="100"/>
      <c r="F70" s="100"/>
      <c r="G70" s="100"/>
      <c r="H70" s="100"/>
      <c r="I70" s="100"/>
      <c r="J70" s="100"/>
      <c r="K70" s="100"/>
    </row>
    <row r="71" spans="2:11" ht="14.1" x14ac:dyDescent="0.55000000000000004">
      <c r="B71" s="11"/>
      <c r="C71" s="102"/>
      <c r="D71" s="102" t="str">
        <f>'Valuation - base'!D71</f>
        <v>Forecast</v>
      </c>
      <c r="E71" s="102" t="str">
        <f>'Valuation - base'!E71</f>
        <v>Forecast</v>
      </c>
      <c r="F71" s="102" t="str">
        <f>'Valuation - base'!F71</f>
        <v>Forecast</v>
      </c>
      <c r="G71" s="102" t="str">
        <f>'Valuation - base'!G71</f>
        <v>Forecast</v>
      </c>
      <c r="H71" s="102" t="str">
        <f>'Valuation - base'!H71</f>
        <v>Forecast</v>
      </c>
      <c r="I71" s="102" t="str">
        <f>'Valuation - base'!I71</f>
        <v>Forecast</v>
      </c>
      <c r="J71" s="102" t="str">
        <f>'Valuation - base'!J71</f>
        <v>Forecast</v>
      </c>
      <c r="K71" s="100"/>
    </row>
    <row r="72" spans="2:11" ht="14.1" x14ac:dyDescent="0.55000000000000004">
      <c r="B72" s="27" t="s">
        <v>278</v>
      </c>
      <c r="C72" s="103"/>
      <c r="D72" s="104">
        <f>'Valuation - base'!D72</f>
        <v>2026</v>
      </c>
      <c r="E72" s="104">
        <f>'Valuation - base'!E72</f>
        <v>2027</v>
      </c>
      <c r="F72" s="104">
        <f>'Valuation - base'!F72</f>
        <v>2028</v>
      </c>
      <c r="G72" s="104">
        <f>'Valuation - base'!G72</f>
        <v>2029</v>
      </c>
      <c r="H72" s="104">
        <f>'Valuation - base'!H72</f>
        <v>2030</v>
      </c>
      <c r="I72" s="104">
        <f>'Valuation - base'!I72</f>
        <v>2031</v>
      </c>
      <c r="J72" s="104">
        <f>'Valuation - base'!J72</f>
        <v>2032</v>
      </c>
      <c r="K72" s="100"/>
    </row>
    <row r="73" spans="2:11" x14ac:dyDescent="0.55000000000000004">
      <c r="B73" s="11" t="s">
        <v>279</v>
      </c>
      <c r="C73" s="100"/>
      <c r="D73" s="100">
        <f>'Valuation - base'!D73</f>
        <v>132.76746149687261</v>
      </c>
      <c r="E73" s="100">
        <f>'Valuation - base'!E73</f>
        <v>157.38041717662156</v>
      </c>
      <c r="F73" s="100">
        <f>'Valuation - base'!F73</f>
        <v>179.25821905747054</v>
      </c>
      <c r="G73" s="100">
        <f>'Valuation - base'!G73</f>
        <v>191.80629439149348</v>
      </c>
      <c r="H73" s="100">
        <f>'Valuation - base'!H73</f>
        <v>203.31467205498308</v>
      </c>
      <c r="I73" s="100">
        <f>'Valuation - base'!I73</f>
        <v>213.48040565773226</v>
      </c>
      <c r="J73" s="100">
        <f>'Valuation - base'!J73</f>
        <v>222.01962188404161</v>
      </c>
      <c r="K73" s="100"/>
    </row>
    <row r="74" spans="2:11" x14ac:dyDescent="0.55000000000000004">
      <c r="B74" s="11" t="s">
        <v>276</v>
      </c>
      <c r="C74" s="100"/>
      <c r="D74" s="100">
        <f>'Valuation - base'!D74</f>
        <v>21.811199999999999</v>
      </c>
      <c r="E74" s="100">
        <f>'Valuation - base'!E74</f>
        <v>32.953704000000002</v>
      </c>
      <c r="F74" s="100">
        <f>'Valuation - base'!F74</f>
        <v>35.260463280000003</v>
      </c>
      <c r="G74" s="100">
        <f>'Valuation - base'!G74</f>
        <v>37.376091076800002</v>
      </c>
      <c r="H74" s="100">
        <f>'Valuation - base'!H74</f>
        <v>39.244895630640009</v>
      </c>
      <c r="I74" s="100">
        <f>'Valuation - base'!I74</f>
        <v>39.244895630640009</v>
      </c>
      <c r="J74" s="100">
        <f>'Valuation - base'!J74</f>
        <v>39.244895630640009</v>
      </c>
      <c r="K74" s="100"/>
    </row>
    <row r="75" spans="2:11" x14ac:dyDescent="0.55000000000000004">
      <c r="B75" s="11" t="s">
        <v>147</v>
      </c>
      <c r="C75" s="100"/>
      <c r="D75" s="100">
        <f>'Valuation - base'!D75</f>
        <v>-27.263999999999999</v>
      </c>
      <c r="E75" s="100">
        <f>'Valuation - base'!E75</f>
        <v>-41.192129999999999</v>
      </c>
      <c r="F75" s="100">
        <f>'Valuation - base'!F75</f>
        <v>-44.075579099999999</v>
      </c>
      <c r="G75" s="100">
        <f>'Valuation - base'!G75</f>
        <v>-46.720113846000004</v>
      </c>
      <c r="H75" s="100">
        <f>'Valuation - base'!H75</f>
        <v>-49.05611953830001</v>
      </c>
      <c r="I75" s="100">
        <f>'Valuation - base'!I75</f>
        <v>-49.05611953830001</v>
      </c>
      <c r="J75" s="100">
        <f>'Valuation - base'!J75</f>
        <v>-49.05611953830001</v>
      </c>
      <c r="K75" s="100"/>
    </row>
    <row r="76" spans="2:11" x14ac:dyDescent="0.55000000000000004">
      <c r="B76" s="11" t="s">
        <v>280</v>
      </c>
      <c r="C76" s="100"/>
      <c r="D76" s="100"/>
      <c r="E76" s="100"/>
      <c r="F76" s="100"/>
      <c r="G76" s="100"/>
      <c r="H76" s="100"/>
      <c r="I76" s="100"/>
      <c r="J76" s="100"/>
      <c r="K76" s="100"/>
    </row>
    <row r="77" spans="2:11" x14ac:dyDescent="0.55000000000000004">
      <c r="B77" s="11" t="s">
        <v>281</v>
      </c>
      <c r="C77" s="100"/>
      <c r="D77" s="100">
        <f>'Valuation - base'!D77</f>
        <v>11.179509881062963</v>
      </c>
      <c r="E77" s="100">
        <f>'Valuation - base'!E77</f>
        <v>-3.4223033349725895</v>
      </c>
      <c r="F77" s="100">
        <f>'Valuation - base'!F77</f>
        <v>-2.5355462543030356</v>
      </c>
      <c r="G77" s="100">
        <f>'Valuation - base'!G77</f>
        <v>-2.4188737795748878</v>
      </c>
      <c r="H77" s="100">
        <f>'Valuation - base'!H77</f>
        <v>-2.2184528092672551</v>
      </c>
      <c r="I77" s="100">
        <f>'Valuation - base'!I77</f>
        <v>-1.9596333148527449</v>
      </c>
      <c r="J77" s="100">
        <f>'Valuation - base'!J77</f>
        <v>-1.6460919844763069</v>
      </c>
      <c r="K77" s="100"/>
    </row>
    <row r="78" spans="2:11" x14ac:dyDescent="0.55000000000000004">
      <c r="B78" s="11" t="s">
        <v>282</v>
      </c>
      <c r="C78" s="100"/>
      <c r="D78" s="100">
        <f>'Valuation - base'!D78</f>
        <v>-0.23055224435152422</v>
      </c>
      <c r="E78" s="100">
        <f>'Valuation - base'!E78</f>
        <v>-0.45067881504372931</v>
      </c>
      <c r="F78" s="100">
        <f>'Valuation - base'!F78</f>
        <v>-0.22485872368909998</v>
      </c>
      <c r="G78" s="100">
        <f>'Valuation - base'!G78</f>
        <v>-0.46368628481590513</v>
      </c>
      <c r="H78" s="100">
        <f>'Valuation - base'!H78</f>
        <v>-0.42526656407401564</v>
      </c>
      <c r="I78" s="100">
        <f>'Valuation - base'!I78</f>
        <v>-0.3756521315987138</v>
      </c>
      <c r="J78" s="100">
        <f>'Valuation - base'!J78</f>
        <v>-0.31554779054292137</v>
      </c>
      <c r="K78" s="100"/>
    </row>
    <row r="79" spans="2:11" x14ac:dyDescent="0.55000000000000004">
      <c r="B79" s="11" t="s">
        <v>283</v>
      </c>
      <c r="C79" s="100"/>
      <c r="D79" s="100">
        <f>'Valuation - base'!D79</f>
        <v>-10.049119447024751</v>
      </c>
      <c r="E79" s="100">
        <f>'Valuation - base'!E79</f>
        <v>-6.9186999617507183</v>
      </c>
      <c r="F79" s="100">
        <f>'Valuation - base'!F79</f>
        <v>-5.125987399595644</v>
      </c>
      <c r="G79" s="100">
        <f>'Valuation - base'!G79</f>
        <v>-4.8901164765859875</v>
      </c>
      <c r="H79" s="100">
        <f>'Valuation - base'!H79</f>
        <v>-4.4849353970974306</v>
      </c>
      <c r="I79" s="100">
        <f>'Valuation - base'!I79</f>
        <v>-3.9616929341027287</v>
      </c>
      <c r="J79" s="100">
        <f>'Valuation - base'!J79</f>
        <v>-3.3278220646462984</v>
      </c>
      <c r="K79" s="100"/>
    </row>
    <row r="80" spans="2:11" x14ac:dyDescent="0.55000000000000004">
      <c r="B80" s="11" t="s">
        <v>284</v>
      </c>
      <c r="C80" s="100"/>
      <c r="D80" s="100">
        <f>'Valuation - base'!D80</f>
        <v>-7.9048249871726028</v>
      </c>
      <c r="E80" s="100">
        <f>'Valuation - base'!E80</f>
        <v>4.6938958781309026</v>
      </c>
      <c r="F80" s="100">
        <f>'Valuation - base'!F80</f>
        <v>2.3419415358665816</v>
      </c>
      <c r="G80" s="100">
        <f>'Valuation - base'!G80</f>
        <v>4.8293708698777351</v>
      </c>
      <c r="H80" s="100">
        <f>'Valuation - base'!H80</f>
        <v>4.4292229978021709</v>
      </c>
      <c r="I80" s="100">
        <f>'Valuation - base'!I80</f>
        <v>3.9124803147252294</v>
      </c>
      <c r="J80" s="100">
        <f>'Valuation - base'!J80</f>
        <v>3.2864834643692262</v>
      </c>
      <c r="K80" s="100"/>
    </row>
    <row r="81" spans="2:11" x14ac:dyDescent="0.55000000000000004">
      <c r="B81" s="44" t="s">
        <v>285</v>
      </c>
      <c r="C81" s="101"/>
      <c r="D81" s="101">
        <f>'Valuation - base'!D81</f>
        <v>-3.1878171491929095</v>
      </c>
      <c r="E81" s="101">
        <f>'Valuation - base'!E81</f>
        <v>5.474177273987209</v>
      </c>
      <c r="F81" s="101">
        <f>'Valuation - base'!F81</f>
        <v>2.7312500033026907</v>
      </c>
      <c r="G81" s="101">
        <f>'Valuation - base'!G81</f>
        <v>5.6321727089667917</v>
      </c>
      <c r="H81" s="101">
        <f>'Valuation - base'!H81</f>
        <v>5.1655069702238308</v>
      </c>
      <c r="I81" s="101">
        <f>'Valuation - base'!I81</f>
        <v>4.5628644903643902</v>
      </c>
      <c r="J81" s="101">
        <f>'Valuation - base'!J81</f>
        <v>3.8328061719060855</v>
      </c>
      <c r="K81" s="100"/>
    </row>
    <row r="82" spans="2:11" ht="14.1" x14ac:dyDescent="0.55000000000000004">
      <c r="B82" s="12" t="s">
        <v>286</v>
      </c>
      <c r="C82" s="100"/>
      <c r="D82" s="100">
        <f>'Valuation - base'!D82</f>
        <v>117.12185755019378</v>
      </c>
      <c r="E82" s="100">
        <f>'Valuation - base'!E82</f>
        <v>148.51838221697267</v>
      </c>
      <c r="F82" s="100">
        <f>'Valuation - base'!F82</f>
        <v>167.62990239905207</v>
      </c>
      <c r="G82" s="100">
        <f>'Valuation - base'!G82</f>
        <v>185.15113866016122</v>
      </c>
      <c r="H82" s="100">
        <f>'Valuation - base'!H82</f>
        <v>195.96952334491039</v>
      </c>
      <c r="I82" s="100">
        <f>'Valuation - base'!I82</f>
        <v>205.84754817460771</v>
      </c>
      <c r="J82" s="100">
        <f>'Valuation - base'!J82</f>
        <v>214.03822577299144</v>
      </c>
      <c r="K82" s="100"/>
    </row>
    <row r="83" spans="2:11" x14ac:dyDescent="0.55000000000000004">
      <c r="B83" s="44" t="s">
        <v>287</v>
      </c>
      <c r="C83" s="101"/>
      <c r="D83" s="101"/>
      <c r="E83" s="101"/>
      <c r="F83" s="101"/>
      <c r="G83" s="101"/>
      <c r="H83" s="101"/>
      <c r="I83" s="101"/>
      <c r="J83" s="105">
        <f>'Valuation - base'!J83</f>
        <v>4825.8264606262092</v>
      </c>
      <c r="K83" s="100"/>
    </row>
    <row r="84" spans="2:11" ht="14.1" x14ac:dyDescent="0.55000000000000004">
      <c r="B84" s="12" t="s">
        <v>288</v>
      </c>
      <c r="C84" s="100"/>
      <c r="D84" s="102">
        <f>'Valuation - base'!D84</f>
        <v>117.12185755019378</v>
      </c>
      <c r="E84" s="102">
        <f>'Valuation - base'!E84</f>
        <v>148.51838221697267</v>
      </c>
      <c r="F84" s="102">
        <f>'Valuation - base'!F84</f>
        <v>167.62990239905207</v>
      </c>
      <c r="G84" s="102">
        <f>'Valuation - base'!G84</f>
        <v>185.15113866016122</v>
      </c>
      <c r="H84" s="102">
        <f>'Valuation - base'!H84</f>
        <v>195.96952334491039</v>
      </c>
      <c r="I84" s="102">
        <f>'Valuation - base'!I84</f>
        <v>205.84754817460771</v>
      </c>
      <c r="J84" s="106">
        <f>'Valuation - base'!J84</f>
        <v>5039.8646863992008</v>
      </c>
      <c r="K84" s="100"/>
    </row>
    <row r="85" spans="2:11" ht="14.4" thickBot="1" x14ac:dyDescent="0.6">
      <c r="B85" s="12"/>
      <c r="C85" s="16"/>
      <c r="D85" s="64"/>
      <c r="E85" s="64"/>
      <c r="F85" s="64"/>
      <c r="G85" s="64"/>
      <c r="H85" s="64"/>
      <c r="I85" s="64"/>
      <c r="J85" s="64"/>
    </row>
    <row r="86" spans="2:11" ht="14.1" x14ac:dyDescent="0.55000000000000004">
      <c r="B86" s="72" t="s">
        <v>289</v>
      </c>
      <c r="C86" s="73">
        <f>NPV('cost of capital'!C22,E84:J84)</f>
        <v>3870.607856063782</v>
      </c>
      <c r="D86" s="16"/>
      <c r="E86" s="16"/>
      <c r="F86" s="16"/>
      <c r="G86" s="16"/>
      <c r="H86" s="16"/>
      <c r="I86" s="16"/>
      <c r="J86" s="16"/>
    </row>
    <row r="87" spans="2:11" x14ac:dyDescent="0.55000000000000004">
      <c r="B87" s="74" t="s">
        <v>290</v>
      </c>
      <c r="C87" s="75">
        <f>D47+D48</f>
        <v>107.25176515269573</v>
      </c>
    </row>
    <row r="88" spans="2:11" x14ac:dyDescent="0.55000000000000004">
      <c r="B88" s="76" t="s">
        <v>291</v>
      </c>
      <c r="C88" s="77">
        <f>-(D59+D58)</f>
        <v>-98.657000000000011</v>
      </c>
    </row>
    <row r="89" spans="2:11" ht="14.1" x14ac:dyDescent="0.55000000000000004">
      <c r="B89" s="78" t="s">
        <v>292</v>
      </c>
      <c r="C89" s="79">
        <f>SUM(C86:C88)</f>
        <v>3879.2026212164774</v>
      </c>
      <c r="E89" s="10" t="s">
        <v>293</v>
      </c>
    </row>
    <row r="90" spans="2:11" x14ac:dyDescent="0.55000000000000004">
      <c r="B90" s="74" t="s">
        <v>294</v>
      </c>
      <c r="C90" s="80">
        <f>C95</f>
        <v>14.300362094410008</v>
      </c>
    </row>
    <row r="91" spans="2:11" ht="14.4" thickBot="1" x14ac:dyDescent="0.6">
      <c r="B91" s="81" t="s">
        <v>217</v>
      </c>
      <c r="C91" s="82">
        <f>C89/C90</f>
        <v>271.26604176916976</v>
      </c>
    </row>
    <row r="93" spans="2:11" x14ac:dyDescent="0.55000000000000004">
      <c r="B93" s="10" t="s">
        <v>333</v>
      </c>
      <c r="C93" s="28">
        <f>'cost of capital'!C12</f>
        <v>14.8</v>
      </c>
    </row>
    <row r="94" spans="2:11" x14ac:dyDescent="0.55000000000000004">
      <c r="B94" s="10" t="s">
        <v>334</v>
      </c>
      <c r="C94" s="28">
        <f>D69/250</f>
        <v>0.49963790558999227</v>
      </c>
      <c r="E94" s="10" t="s">
        <v>367</v>
      </c>
    </row>
    <row r="95" spans="2:11" x14ac:dyDescent="0.55000000000000004">
      <c r="B95" s="10" t="s">
        <v>335</v>
      </c>
      <c r="C95" s="28">
        <f>C93-C94</f>
        <v>14.300362094410008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22"/>
  <sheetViews>
    <sheetView zoomScaleNormal="100" workbookViewId="0"/>
  </sheetViews>
  <sheetFormatPr defaultColWidth="9.1015625" defaultRowHeight="13.8" x14ac:dyDescent="0.45"/>
  <cols>
    <col min="1" max="1" width="3.1015625" style="17" customWidth="1"/>
    <col min="2" max="2" width="37.83984375" style="17" customWidth="1"/>
    <col min="3" max="3" width="17" style="17" customWidth="1"/>
    <col min="4" max="4" width="4" style="17" customWidth="1"/>
    <col min="5" max="5" width="10.68359375" style="17" customWidth="1"/>
    <col min="6" max="16384" width="9.1015625" style="17"/>
  </cols>
  <sheetData>
    <row r="2" spans="2:8" ht="14.1" x14ac:dyDescent="0.5">
      <c r="B2" s="93" t="s">
        <v>314</v>
      </c>
    </row>
    <row r="3" spans="2:8" x14ac:dyDescent="0.45">
      <c r="B3" s="17" t="s">
        <v>315</v>
      </c>
    </row>
    <row r="5" spans="2:8" ht="14.1" x14ac:dyDescent="0.5">
      <c r="B5" s="83" t="s">
        <v>316</v>
      </c>
      <c r="C5" s="84"/>
      <c r="D5" s="84"/>
      <c r="E5" s="83" t="s">
        <v>317</v>
      </c>
      <c r="F5" s="84"/>
      <c r="G5" s="84"/>
      <c r="H5" s="84"/>
    </row>
    <row r="6" spans="2:8" x14ac:dyDescent="0.45">
      <c r="B6" s="17" t="s">
        <v>318</v>
      </c>
      <c r="C6" s="85">
        <v>0.03</v>
      </c>
      <c r="E6" s="17" t="s">
        <v>319</v>
      </c>
    </row>
    <row r="7" spans="2:8" x14ac:dyDescent="0.45">
      <c r="B7" s="17" t="s">
        <v>320</v>
      </c>
      <c r="C7" s="85">
        <v>0.21</v>
      </c>
      <c r="E7" s="17" t="s">
        <v>321</v>
      </c>
    </row>
    <row r="8" spans="2:8" x14ac:dyDescent="0.45">
      <c r="B8" s="17" t="s">
        <v>322</v>
      </c>
      <c r="C8" s="85">
        <v>2.5000000000000001E-2</v>
      </c>
      <c r="E8" s="17" t="s">
        <v>339</v>
      </c>
    </row>
    <row r="9" spans="2:8" x14ac:dyDescent="0.45">
      <c r="B9" s="17" t="s">
        <v>323</v>
      </c>
      <c r="C9" s="86">
        <v>0.06</v>
      </c>
      <c r="E9" s="17" t="s">
        <v>339</v>
      </c>
    </row>
    <row r="10" spans="2:8" x14ac:dyDescent="0.45">
      <c r="B10" s="17" t="s">
        <v>324</v>
      </c>
      <c r="C10" s="17">
        <v>1.1000000000000001</v>
      </c>
      <c r="E10" s="17" t="s">
        <v>325</v>
      </c>
    </row>
    <row r="11" spans="2:8" x14ac:dyDescent="0.45">
      <c r="B11" s="17" t="s">
        <v>343</v>
      </c>
      <c r="C11" s="17">
        <v>1.1000000000000001</v>
      </c>
      <c r="E11" s="17" t="s">
        <v>342</v>
      </c>
    </row>
    <row r="12" spans="2:8" x14ac:dyDescent="0.45">
      <c r="B12" s="17" t="s">
        <v>340</v>
      </c>
      <c r="C12" s="87">
        <v>14.8</v>
      </c>
      <c r="E12" s="17" t="s">
        <v>363</v>
      </c>
    </row>
    <row r="13" spans="2:8" x14ac:dyDescent="0.45">
      <c r="C13" s="88"/>
    </row>
    <row r="14" spans="2:8" x14ac:dyDescent="0.45">
      <c r="B14" s="17" t="s">
        <v>364</v>
      </c>
      <c r="C14" s="89">
        <v>100</v>
      </c>
      <c r="E14" s="17" t="s">
        <v>370</v>
      </c>
    </row>
    <row r="15" spans="2:8" x14ac:dyDescent="0.45">
      <c r="B15" s="17" t="s">
        <v>368</v>
      </c>
      <c r="C15" s="89">
        <v>4000</v>
      </c>
      <c r="E15" s="17" t="s">
        <v>341</v>
      </c>
    </row>
    <row r="16" spans="2:8" x14ac:dyDescent="0.45">
      <c r="B16" s="17" t="s">
        <v>369</v>
      </c>
      <c r="C16" s="90">
        <f>C14/(C14+C15)</f>
        <v>2.4390243902439025E-2</v>
      </c>
      <c r="E16" s="17" t="s">
        <v>326</v>
      </c>
    </row>
    <row r="17" spans="2:8" x14ac:dyDescent="0.45">
      <c r="B17" s="17" t="s">
        <v>327</v>
      </c>
      <c r="C17" s="90">
        <v>0.15</v>
      </c>
      <c r="E17" s="17" t="s">
        <v>310</v>
      </c>
    </row>
    <row r="18" spans="2:8" x14ac:dyDescent="0.45">
      <c r="C18" s="90"/>
    </row>
    <row r="19" spans="2:8" ht="14.1" x14ac:dyDescent="0.5">
      <c r="B19" s="83" t="s">
        <v>328</v>
      </c>
      <c r="C19" s="83"/>
      <c r="D19" s="83"/>
      <c r="E19" s="83"/>
      <c r="F19" s="83"/>
      <c r="G19" s="83"/>
      <c r="H19" s="83"/>
    </row>
    <row r="20" spans="2:8" x14ac:dyDescent="0.45">
      <c r="B20" s="17" t="s">
        <v>329</v>
      </c>
      <c r="C20" s="85">
        <f>C8+C9*C11</f>
        <v>9.0999999999999998E-2</v>
      </c>
      <c r="E20" s="17" t="s">
        <v>330</v>
      </c>
      <c r="F20" s="107"/>
    </row>
    <row r="21" spans="2:8" ht="14.1" thickBot="1" x14ac:dyDescent="0.5">
      <c r="B21" s="17" t="s">
        <v>331</v>
      </c>
      <c r="C21" s="85">
        <f>C6*(1-C7)</f>
        <v>2.3699999999999999E-2</v>
      </c>
    </row>
    <row r="22" spans="2:8" ht="14.4" thickBot="1" x14ac:dyDescent="0.55000000000000004">
      <c r="B22" s="91" t="s">
        <v>332</v>
      </c>
      <c r="C22" s="92">
        <f>C21*C17+(1-C17)*C20</f>
        <v>8.0905000000000005E-2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B2:V22"/>
  <sheetViews>
    <sheetView workbookViewId="0">
      <pane ySplit="3" topLeftCell="A4" activePane="bottomLeft" state="frozen"/>
      <selection pane="bottomLeft" activeCell="V14" sqref="V14"/>
    </sheetView>
  </sheetViews>
  <sheetFormatPr defaultColWidth="9.1015625" defaultRowHeight="13.8" outlineLevelCol="1" x14ac:dyDescent="0.55000000000000004"/>
  <cols>
    <col min="1" max="1" width="2.83984375" style="10" customWidth="1"/>
    <col min="2" max="2" width="34.68359375" style="10" customWidth="1"/>
    <col min="3" max="7" width="8.68359375" style="10" hidden="1" customWidth="1" outlineLevel="1"/>
    <col min="8" max="8" width="8.68359375" style="10" customWidth="1" collapsed="1"/>
    <col min="9" max="19" width="8.68359375" style="10" customWidth="1"/>
    <col min="20" max="20" width="7.578125" style="10" bestFit="1" customWidth="1"/>
    <col min="21" max="16384" width="9.1015625" style="10"/>
  </cols>
  <sheetData>
    <row r="2" spans="2:22" ht="14.1" x14ac:dyDescent="0.55000000000000004">
      <c r="B2" s="15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22" ht="14.1" x14ac:dyDescent="0.55000000000000004">
      <c r="B3" s="11"/>
      <c r="C3" s="12" t="s">
        <v>10</v>
      </c>
      <c r="D3" s="12" t="s">
        <v>9</v>
      </c>
      <c r="E3" s="12" t="s">
        <v>8</v>
      </c>
      <c r="F3" s="12" t="s">
        <v>7</v>
      </c>
      <c r="G3" s="12" t="s">
        <v>6</v>
      </c>
      <c r="H3" s="12" t="s">
        <v>5</v>
      </c>
      <c r="I3" s="12" t="s">
        <v>4</v>
      </c>
      <c r="J3" s="12" t="s">
        <v>3</v>
      </c>
      <c r="K3" s="12" t="s">
        <v>2</v>
      </c>
      <c r="L3" s="12" t="s">
        <v>1</v>
      </c>
      <c r="M3" s="12" t="s">
        <v>185</v>
      </c>
      <c r="N3" s="12" t="s">
        <v>187</v>
      </c>
      <c r="O3" s="12" t="s">
        <v>189</v>
      </c>
      <c r="P3" s="12" t="s">
        <v>191</v>
      </c>
      <c r="Q3" s="12" t="s">
        <v>205</v>
      </c>
      <c r="R3" s="12" t="s">
        <v>211</v>
      </c>
      <c r="S3" s="12" t="s">
        <v>336</v>
      </c>
      <c r="T3" s="12" t="s">
        <v>338</v>
      </c>
      <c r="U3" s="12" t="s">
        <v>344</v>
      </c>
      <c r="V3" s="12" t="s">
        <v>348</v>
      </c>
    </row>
    <row r="4" spans="2:22" x14ac:dyDescent="0.55000000000000004">
      <c r="B4" s="11" t="s">
        <v>11</v>
      </c>
      <c r="C4" s="13">
        <v>19.315000000000001</v>
      </c>
      <c r="D4" s="13">
        <v>24.006</v>
      </c>
      <c r="E4" s="13">
        <v>37.491</v>
      </c>
      <c r="F4" s="13">
        <v>42.905000000000001</v>
      </c>
      <c r="G4" s="13">
        <v>65.224999999999994</v>
      </c>
      <c r="H4" s="13">
        <v>108.249</v>
      </c>
      <c r="I4" s="13">
        <v>156.50800000000001</v>
      </c>
      <c r="J4" s="13">
        <v>170.91</v>
      </c>
      <c r="K4" s="13">
        <v>182.79499999999999</v>
      </c>
      <c r="L4" s="13">
        <v>233.715</v>
      </c>
      <c r="M4" s="13">
        <v>215.63900000000001</v>
      </c>
      <c r="N4" s="13">
        <v>229.23400000000001</v>
      </c>
      <c r="O4" s="13">
        <v>265.59500000000003</v>
      </c>
      <c r="P4" s="13">
        <v>260.17399999999998</v>
      </c>
      <c r="Q4" s="13">
        <v>274.51499999999999</v>
      </c>
      <c r="R4" s="13">
        <v>365.81700000000001</v>
      </c>
      <c r="S4" s="13">
        <v>394</v>
      </c>
      <c r="T4" s="13">
        <v>383</v>
      </c>
      <c r="U4" s="13">
        <v>391</v>
      </c>
      <c r="V4" s="13">
        <v>416.161</v>
      </c>
    </row>
    <row r="5" spans="2:22" x14ac:dyDescent="0.55000000000000004">
      <c r="B5" s="11" t="s">
        <v>12</v>
      </c>
      <c r="C5" s="13">
        <v>-13.717000000000001</v>
      </c>
      <c r="D5" s="13">
        <v>-15.852</v>
      </c>
      <c r="E5" s="13">
        <v>-24.294</v>
      </c>
      <c r="F5" s="13">
        <v>-25.683</v>
      </c>
      <c r="G5" s="13">
        <v>-39.540999999999997</v>
      </c>
      <c r="H5" s="13">
        <v>-64.430999999999997</v>
      </c>
      <c r="I5" s="13">
        <v>-87.846000000000004</v>
      </c>
      <c r="J5" s="13">
        <v>-106.60599999999999</v>
      </c>
      <c r="K5" s="13">
        <v>-112.258</v>
      </c>
      <c r="L5" s="13">
        <v>-140.089</v>
      </c>
      <c r="M5" s="13">
        <v>-131.376</v>
      </c>
      <c r="N5" s="13">
        <v>-141.048</v>
      </c>
      <c r="O5" s="13">
        <v>-163.756</v>
      </c>
      <c r="P5" s="13">
        <v>-161.78200000000001</v>
      </c>
      <c r="Q5" s="13">
        <v>-169.559</v>
      </c>
      <c r="R5" s="13">
        <v>-212.98099999999999</v>
      </c>
      <c r="S5" s="13">
        <v>-224</v>
      </c>
      <c r="T5" s="13">
        <v>-214</v>
      </c>
      <c r="U5" s="13">
        <v>-210</v>
      </c>
      <c r="V5" s="13">
        <v>-220.96</v>
      </c>
    </row>
    <row r="6" spans="2:22" x14ac:dyDescent="0.55000000000000004">
      <c r="B6" s="11" t="s">
        <v>13</v>
      </c>
      <c r="C6" s="13">
        <v>5.5979999999999999</v>
      </c>
      <c r="D6" s="13">
        <v>8.1539999999999999</v>
      </c>
      <c r="E6" s="13">
        <v>13.196999999999999</v>
      </c>
      <c r="F6" s="13">
        <v>17.222000000000001</v>
      </c>
      <c r="G6" s="13">
        <v>25.684000000000001</v>
      </c>
      <c r="H6" s="13">
        <v>43.817999999999998</v>
      </c>
      <c r="I6" s="13">
        <v>68.662000000000006</v>
      </c>
      <c r="J6" s="13">
        <v>64.304000000000002</v>
      </c>
      <c r="K6" s="13">
        <v>70.537000000000006</v>
      </c>
      <c r="L6" s="13">
        <v>93.626000000000005</v>
      </c>
      <c r="M6" s="13">
        <v>84.263000000000005</v>
      </c>
      <c r="N6" s="13">
        <v>88.186000000000007</v>
      </c>
      <c r="O6" s="13">
        <v>101.839</v>
      </c>
      <c r="P6" s="13">
        <v>98.391999999999996</v>
      </c>
      <c r="Q6" s="13">
        <v>104.956</v>
      </c>
      <c r="R6" s="13">
        <v>152.83600000000001</v>
      </c>
      <c r="S6" s="13">
        <v>171</v>
      </c>
      <c r="T6" s="13">
        <v>169</v>
      </c>
      <c r="U6" s="13">
        <f>SUM(U4:U5)</f>
        <v>181</v>
      </c>
      <c r="V6" s="13">
        <v>195.20099999999999</v>
      </c>
    </row>
    <row r="7" spans="2:22" x14ac:dyDescent="0.55000000000000004">
      <c r="B7" s="11" t="s">
        <v>14</v>
      </c>
      <c r="C7" s="13">
        <v>-3.145</v>
      </c>
      <c r="D7" s="13">
        <v>-3.7450000000000001</v>
      </c>
      <c r="E7" s="13">
        <v>-4.87</v>
      </c>
      <c r="F7" s="13">
        <v>-5.4820000000000002</v>
      </c>
      <c r="G7" s="13">
        <v>-7.2990000000000004</v>
      </c>
      <c r="H7" s="13">
        <v>-10.028</v>
      </c>
      <c r="I7" s="13">
        <v>-13.420999999999999</v>
      </c>
      <c r="J7" s="13">
        <v>-15.305</v>
      </c>
      <c r="K7" s="13">
        <v>-18.033999999999999</v>
      </c>
      <c r="L7" s="13">
        <v>-22.396000000000001</v>
      </c>
      <c r="M7" s="13">
        <v>-24.239000000000001</v>
      </c>
      <c r="N7" s="13">
        <v>-26.841999999999999</v>
      </c>
      <c r="O7" s="13">
        <v>-30.940999999999999</v>
      </c>
      <c r="P7" s="13">
        <v>-34.462000000000003</v>
      </c>
      <c r="Q7" s="13">
        <f>SUM(Q8:Q9)</f>
        <v>-38.667999999999999</v>
      </c>
      <c r="R7" s="13">
        <v>-43.887</v>
      </c>
      <c r="S7" s="13">
        <v>-51</v>
      </c>
      <c r="T7" s="13">
        <v>-55</v>
      </c>
      <c r="U7" s="13">
        <v>-58</v>
      </c>
      <c r="V7" s="13">
        <v>-62.1</v>
      </c>
    </row>
    <row r="8" spans="2:22" x14ac:dyDescent="0.55000000000000004">
      <c r="B8" s="11" t="s">
        <v>15</v>
      </c>
      <c r="C8" s="13">
        <v>-0.71199999999999997</v>
      </c>
      <c r="D8" s="13">
        <v>-0.78200000000000003</v>
      </c>
      <c r="E8" s="13">
        <v>-1.109</v>
      </c>
      <c r="F8" s="13">
        <v>-1.333</v>
      </c>
      <c r="G8" s="13">
        <v>-1.782</v>
      </c>
      <c r="H8" s="13">
        <v>-2.4289999999999998</v>
      </c>
      <c r="I8" s="13">
        <v>-3.3809999999999998</v>
      </c>
      <c r="J8" s="13">
        <v>-4.4749999999999996</v>
      </c>
      <c r="K8" s="13">
        <v>-6.0410000000000004</v>
      </c>
      <c r="L8" s="13">
        <v>-8.0670000000000002</v>
      </c>
      <c r="M8" s="13">
        <v>-10.045</v>
      </c>
      <c r="N8" s="13">
        <v>-11.581</v>
      </c>
      <c r="O8" s="13">
        <v>-14.236000000000001</v>
      </c>
      <c r="P8" s="13">
        <v>-16.216999999999999</v>
      </c>
      <c r="Q8" s="13">
        <v>-18.751999999999999</v>
      </c>
      <c r="R8" s="13">
        <v>-21.914000000000001</v>
      </c>
      <c r="S8" s="13">
        <v>-26</v>
      </c>
      <c r="T8" s="13">
        <v>-30</v>
      </c>
      <c r="U8" s="13">
        <v>-31</v>
      </c>
      <c r="V8" s="13">
        <v>-34.549999999999997</v>
      </c>
    </row>
    <row r="9" spans="2:22" x14ac:dyDescent="0.55000000000000004">
      <c r="B9" s="11" t="s">
        <v>16</v>
      </c>
      <c r="C9" s="13">
        <v>-2.4329999999999998</v>
      </c>
      <c r="D9" s="13">
        <v>-2.9630000000000001</v>
      </c>
      <c r="E9" s="13">
        <v>-3.7610000000000001</v>
      </c>
      <c r="F9" s="13">
        <v>-4.149</v>
      </c>
      <c r="G9" s="13">
        <v>-5.5170000000000003</v>
      </c>
      <c r="H9" s="13">
        <v>-7.5990000000000002</v>
      </c>
      <c r="I9" s="13">
        <v>-10.039999999999999</v>
      </c>
      <c r="J9" s="13">
        <v>-10.83</v>
      </c>
      <c r="K9" s="13">
        <v>-11.993</v>
      </c>
      <c r="L9" s="13">
        <v>-14.329000000000001</v>
      </c>
      <c r="M9" s="13">
        <v>-14.194000000000001</v>
      </c>
      <c r="N9" s="13">
        <v>-15.260999999999999</v>
      </c>
      <c r="O9" s="13">
        <v>-16.704999999999998</v>
      </c>
      <c r="P9" s="13">
        <v>-18.245000000000001</v>
      </c>
      <c r="Q9" s="13">
        <v>-19.916</v>
      </c>
      <c r="R9" s="13">
        <v>-21.972999999999999</v>
      </c>
      <c r="S9" s="13">
        <v>-25</v>
      </c>
      <c r="T9" s="13">
        <v>-25</v>
      </c>
      <c r="U9" s="13">
        <v>-26</v>
      </c>
      <c r="V9" s="13">
        <v>-27.600999999999999</v>
      </c>
    </row>
    <row r="10" spans="2:22" x14ac:dyDescent="0.55000000000000004">
      <c r="B10" s="11" t="s">
        <v>17</v>
      </c>
      <c r="C10" s="13">
        <v>2.4529999999999998</v>
      </c>
      <c r="D10" s="13">
        <v>4.4089999999999998</v>
      </c>
      <c r="E10" s="13">
        <v>8.327</v>
      </c>
      <c r="F10" s="13">
        <v>11.74</v>
      </c>
      <c r="G10" s="13">
        <v>18.385000000000002</v>
      </c>
      <c r="H10" s="13">
        <v>33.79</v>
      </c>
      <c r="I10" s="13">
        <v>55.241</v>
      </c>
      <c r="J10" s="13">
        <v>48.999000000000002</v>
      </c>
      <c r="K10" s="13">
        <v>52.503</v>
      </c>
      <c r="L10" s="13">
        <v>71.23</v>
      </c>
      <c r="M10" s="13">
        <v>60.024000000000001</v>
      </c>
      <c r="N10" s="13">
        <v>61.344000000000001</v>
      </c>
      <c r="O10" s="13">
        <v>70.897999999999996</v>
      </c>
      <c r="P10" s="13">
        <v>63.93</v>
      </c>
      <c r="Q10" s="13">
        <f>Q6+Q7</f>
        <v>66.288000000000011</v>
      </c>
      <c r="R10" s="13">
        <v>108.949</v>
      </c>
      <c r="S10" s="13">
        <v>119.4</v>
      </c>
      <c r="T10" s="13">
        <v>114</v>
      </c>
      <c r="U10" s="13">
        <v>123.2</v>
      </c>
      <c r="V10" s="13">
        <v>133.05000000000001</v>
      </c>
    </row>
    <row r="11" spans="2:22" x14ac:dyDescent="0.55000000000000004">
      <c r="B11" s="11" t="s">
        <v>18</v>
      </c>
      <c r="C11" s="13">
        <v>0.36499999999999999</v>
      </c>
      <c r="D11" s="13">
        <v>0.59899999999999998</v>
      </c>
      <c r="E11" s="13">
        <v>0.62</v>
      </c>
      <c r="F11" s="13">
        <v>0.32600000000000001</v>
      </c>
      <c r="G11" s="13">
        <v>0.155</v>
      </c>
      <c r="H11" s="13">
        <v>0.41499999999999998</v>
      </c>
      <c r="I11" s="13">
        <v>0.52200000000000002</v>
      </c>
      <c r="J11" s="13">
        <v>1.1559999999999999</v>
      </c>
      <c r="K11" s="13">
        <v>0.98</v>
      </c>
      <c r="L11" s="13">
        <v>1.2849999999999999</v>
      </c>
      <c r="M11" s="13">
        <v>1.3480000000000001</v>
      </c>
      <c r="N11" s="13">
        <v>2.7450000000000001</v>
      </c>
      <c r="O11" s="13">
        <v>2.0049999999999999</v>
      </c>
      <c r="P11" s="13">
        <v>1.8069999999999999</v>
      </c>
      <c r="Q11" s="13">
        <v>0.80300000000000005</v>
      </c>
      <c r="R11" s="13">
        <v>0.25800000000000001</v>
      </c>
      <c r="S11" s="13">
        <v>-0.3</v>
      </c>
      <c r="T11" s="13">
        <v>-0.5</v>
      </c>
      <c r="U11" s="13">
        <v>0.3</v>
      </c>
      <c r="V11" s="13">
        <v>-0.32100000000000001</v>
      </c>
    </row>
    <row r="12" spans="2:22" x14ac:dyDescent="0.55000000000000004">
      <c r="B12" s="11" t="s">
        <v>19</v>
      </c>
      <c r="C12" s="13">
        <v>2.8180000000000001</v>
      </c>
      <c r="D12" s="13">
        <v>5.008</v>
      </c>
      <c r="E12" s="13">
        <v>8.9469999999999992</v>
      </c>
      <c r="F12" s="13">
        <v>12.066000000000001</v>
      </c>
      <c r="G12" s="13">
        <v>18.54</v>
      </c>
      <c r="H12" s="13">
        <v>34.204999999999998</v>
      </c>
      <c r="I12" s="13">
        <v>55.762999999999998</v>
      </c>
      <c r="J12" s="13">
        <v>50.155000000000001</v>
      </c>
      <c r="K12" s="13">
        <v>53.482999999999997</v>
      </c>
      <c r="L12" s="13">
        <v>72.515000000000001</v>
      </c>
      <c r="M12" s="13">
        <v>61.372</v>
      </c>
      <c r="N12" s="13">
        <v>64.088999999999999</v>
      </c>
      <c r="O12" s="13">
        <v>72.903000000000006</v>
      </c>
      <c r="P12" s="13">
        <v>65.736999999999995</v>
      </c>
      <c r="Q12" s="13">
        <f>Q10+Q11</f>
        <v>67.091000000000008</v>
      </c>
      <c r="R12" s="13">
        <v>109.20699999999999</v>
      </c>
      <c r="S12" s="13">
        <v>119.1</v>
      </c>
      <c r="T12" s="13">
        <v>114</v>
      </c>
      <c r="U12" s="13">
        <f>SUM(U10:U11)</f>
        <v>123.5</v>
      </c>
      <c r="V12" s="13">
        <v>132.72900000000001</v>
      </c>
    </row>
    <row r="13" spans="2:22" x14ac:dyDescent="0.55000000000000004">
      <c r="B13" s="11" t="s">
        <v>20</v>
      </c>
      <c r="C13" s="13">
        <v>-0.82899999999999996</v>
      </c>
      <c r="D13" s="13">
        <v>-1.512</v>
      </c>
      <c r="E13" s="13">
        <v>-2.8279999999999998</v>
      </c>
      <c r="F13" s="13">
        <v>-3.831</v>
      </c>
      <c r="G13" s="13">
        <v>-4.5270000000000001</v>
      </c>
      <c r="H13" s="13">
        <v>-8.2829999999999995</v>
      </c>
      <c r="I13" s="13">
        <v>-14.03</v>
      </c>
      <c r="J13" s="13">
        <v>-13.118</v>
      </c>
      <c r="K13" s="13">
        <v>-13.973000000000001</v>
      </c>
      <c r="L13" s="13">
        <v>-19.120999999999999</v>
      </c>
      <c r="M13" s="13">
        <v>-15.685</v>
      </c>
      <c r="N13" s="13">
        <v>-15.738</v>
      </c>
      <c r="O13" s="13">
        <v>-13.372</v>
      </c>
      <c r="P13" s="13">
        <v>-10.481</v>
      </c>
      <c r="Q13" s="13">
        <v>-9.68</v>
      </c>
      <c r="R13" s="13">
        <v>-14.526999999999999</v>
      </c>
      <c r="S13" s="13">
        <v>-19.3</v>
      </c>
      <c r="T13" s="13">
        <v>-18</v>
      </c>
      <c r="U13" s="13">
        <v>-30</v>
      </c>
      <c r="V13" s="13">
        <v>-20.719000000000001</v>
      </c>
    </row>
    <row r="14" spans="2:22" x14ac:dyDescent="0.55000000000000004">
      <c r="B14" s="11" t="s">
        <v>21</v>
      </c>
      <c r="C14" s="13">
        <v>1.9890000000000001</v>
      </c>
      <c r="D14" s="13">
        <v>3.496</v>
      </c>
      <c r="E14" s="13">
        <v>6.1189999999999998</v>
      </c>
      <c r="F14" s="13">
        <v>8.2349999999999994</v>
      </c>
      <c r="G14" s="13">
        <v>14.013</v>
      </c>
      <c r="H14" s="13">
        <v>25.922000000000001</v>
      </c>
      <c r="I14" s="13">
        <v>41.732999999999997</v>
      </c>
      <c r="J14" s="13">
        <v>37.036999999999999</v>
      </c>
      <c r="K14" s="13">
        <v>39.51</v>
      </c>
      <c r="L14" s="13">
        <v>53.393999999999998</v>
      </c>
      <c r="M14" s="13">
        <v>45.686999999999998</v>
      </c>
      <c r="N14" s="13">
        <v>48.350999999999999</v>
      </c>
      <c r="O14" s="13">
        <v>59.530999999999999</v>
      </c>
      <c r="P14" s="13">
        <v>55.256</v>
      </c>
      <c r="Q14" s="13">
        <f>SUM(Q12:Q13)</f>
        <v>57.411000000000008</v>
      </c>
      <c r="R14" s="13">
        <v>94.68</v>
      </c>
      <c r="S14" s="13">
        <v>100</v>
      </c>
      <c r="T14" s="13">
        <v>97</v>
      </c>
      <c r="U14" s="13">
        <v>93.7</v>
      </c>
      <c r="V14" s="13">
        <v>112.01</v>
      </c>
    </row>
    <row r="15" spans="2:22" ht="14.4" x14ac:dyDescent="0.55000000000000004">
      <c r="N15" s="11"/>
      <c r="Q15" s="13"/>
      <c r="R15" s="13"/>
      <c r="S15" s="13"/>
      <c r="U15" s="13"/>
      <c r="V15"/>
    </row>
    <row r="16" spans="2:22" x14ac:dyDescent="0.55000000000000004">
      <c r="B16" s="11" t="s">
        <v>143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4">
        <v>0</v>
      </c>
      <c r="J16" s="14">
        <v>0.13600000000000001</v>
      </c>
      <c r="K16" s="14">
        <v>0.38400000000000001</v>
      </c>
      <c r="L16" s="14">
        <v>0.73299999999999998</v>
      </c>
      <c r="M16" s="14">
        <v>1.46</v>
      </c>
      <c r="N16" s="14">
        <v>2.2999999999999998</v>
      </c>
      <c r="O16" s="10">
        <v>3.24</v>
      </c>
      <c r="P16" s="10">
        <v>3.6</v>
      </c>
      <c r="Q16" s="13">
        <v>2.9</v>
      </c>
      <c r="R16" s="10">
        <v>2.6</v>
      </c>
      <c r="S16" s="10">
        <v>2.9</v>
      </c>
      <c r="T16" s="10">
        <v>4</v>
      </c>
      <c r="U16" s="10">
        <v>4</v>
      </c>
      <c r="V16" s="10">
        <v>4</v>
      </c>
    </row>
    <row r="17" spans="2:22" x14ac:dyDescent="0.55000000000000004">
      <c r="B17" s="11" t="s">
        <v>144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4">
        <v>2.488</v>
      </c>
      <c r="J17" s="14">
        <v>10.564</v>
      </c>
      <c r="K17" s="14">
        <v>11.125999999999999</v>
      </c>
      <c r="L17" s="14">
        <v>11.561</v>
      </c>
      <c r="M17" s="14">
        <v>12.2</v>
      </c>
      <c r="N17" s="14">
        <v>12.8</v>
      </c>
      <c r="O17" s="10">
        <v>13.7</v>
      </c>
      <c r="P17" s="10">
        <v>14.12</v>
      </c>
      <c r="Q17" s="10">
        <v>14.08</v>
      </c>
      <c r="R17" s="10">
        <v>14.5</v>
      </c>
      <c r="S17" s="10">
        <v>14.8</v>
      </c>
      <c r="T17" s="10">
        <v>15</v>
      </c>
      <c r="U17" s="10">
        <v>15</v>
      </c>
      <c r="V17" s="10">
        <v>15</v>
      </c>
    </row>
    <row r="18" spans="2:22" x14ac:dyDescent="0.55000000000000004">
      <c r="N18" s="49"/>
    </row>
    <row r="20" spans="2:22" x14ac:dyDescent="0.55000000000000004">
      <c r="J20" s="14"/>
      <c r="K20" s="14"/>
      <c r="L20" s="14"/>
      <c r="R20" s="13"/>
      <c r="S20" s="13"/>
    </row>
    <row r="21" spans="2:22" x14ac:dyDescent="0.55000000000000004">
      <c r="R21" s="13"/>
      <c r="S21" s="13"/>
    </row>
    <row r="22" spans="2:22" x14ac:dyDescent="0.55000000000000004">
      <c r="R22" s="13"/>
      <c r="S22" s="13"/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B2:V20"/>
  <sheetViews>
    <sheetView workbookViewId="0">
      <pane ySplit="4" topLeftCell="A5" activePane="bottomLeft" state="frozen"/>
      <selection pane="bottomLeft"/>
    </sheetView>
  </sheetViews>
  <sheetFormatPr defaultColWidth="9.1015625" defaultRowHeight="13.8" x14ac:dyDescent="0.55000000000000004"/>
  <cols>
    <col min="1" max="1" width="3.26171875" style="10" customWidth="1"/>
    <col min="2" max="2" width="34.68359375" style="10" customWidth="1"/>
    <col min="3" max="18" width="8.68359375" style="10" customWidth="1"/>
    <col min="19" max="16384" width="9.1015625" style="10"/>
  </cols>
  <sheetData>
    <row r="2" spans="2:22" ht="16.05" customHeight="1" x14ac:dyDescent="0.55000000000000004">
      <c r="B2" s="15" t="s">
        <v>174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22" ht="14.1" x14ac:dyDescent="0.55000000000000004">
      <c r="B3" s="8"/>
      <c r="C3" s="9"/>
      <c r="D3" s="9"/>
      <c r="E3" s="9"/>
      <c r="F3" s="9"/>
      <c r="G3" s="9"/>
      <c r="H3" s="9"/>
      <c r="I3" s="9"/>
      <c r="J3" s="9"/>
      <c r="K3" s="9"/>
      <c r="L3" s="9"/>
    </row>
    <row r="4" spans="2:22" ht="14.1" x14ac:dyDescent="0.55000000000000004">
      <c r="B4" s="11"/>
      <c r="C4" s="12" t="s">
        <v>10</v>
      </c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</v>
      </c>
      <c r="L4" s="12" t="s">
        <v>1</v>
      </c>
      <c r="M4" s="12" t="s">
        <v>186</v>
      </c>
      <c r="N4" s="12" t="s">
        <v>187</v>
      </c>
      <c r="O4" s="12" t="s">
        <v>189</v>
      </c>
      <c r="P4" s="12" t="s">
        <v>191</v>
      </c>
      <c r="Q4" s="12" t="str">
        <f>IS!Q3</f>
        <v>Sep '20</v>
      </c>
      <c r="R4" s="12" t="str">
        <f>IS!R3</f>
        <v>Sep '21</v>
      </c>
      <c r="S4" s="12" t="str">
        <f>IS!S3</f>
        <v>Sep '22</v>
      </c>
      <c r="T4" s="12" t="str">
        <f>IS!T3</f>
        <v>Sep '23</v>
      </c>
      <c r="U4" s="12" t="str">
        <f>IS!U3</f>
        <v>Sep '24</v>
      </c>
      <c r="V4" s="12" t="str">
        <f>IS!V3</f>
        <v>Sep '25</v>
      </c>
    </row>
    <row r="5" spans="2:22" x14ac:dyDescent="0.55000000000000004">
      <c r="B5" s="11" t="s">
        <v>175</v>
      </c>
      <c r="C5" s="13">
        <v>19.315000000000001</v>
      </c>
      <c r="D5" s="13">
        <v>24.006</v>
      </c>
      <c r="E5" s="13">
        <v>37.491</v>
      </c>
      <c r="F5" s="13">
        <v>42.905000000000001</v>
      </c>
      <c r="G5" s="13">
        <v>65.224999999999994</v>
      </c>
      <c r="H5" s="13">
        <v>108.249</v>
      </c>
      <c r="I5" s="13">
        <v>156.50800000000001</v>
      </c>
      <c r="J5" s="13">
        <v>170.91</v>
      </c>
      <c r="K5" s="13">
        <v>182.79499999999999</v>
      </c>
      <c r="L5" s="13">
        <v>233.715</v>
      </c>
      <c r="M5" s="13">
        <f>IS!M4</f>
        <v>215.63900000000001</v>
      </c>
      <c r="N5" s="13">
        <f>IS!N4</f>
        <v>229.23400000000001</v>
      </c>
      <c r="O5" s="13">
        <f>IS!O4</f>
        <v>265.59500000000003</v>
      </c>
      <c r="P5" s="13">
        <f>IS!P4</f>
        <v>260.17399999999998</v>
      </c>
      <c r="Q5" s="13">
        <f>IS!Q4</f>
        <v>274.51499999999999</v>
      </c>
      <c r="R5" s="13">
        <f>IS!R4</f>
        <v>365.81700000000001</v>
      </c>
      <c r="S5" s="13">
        <f>IS!S4</f>
        <v>394</v>
      </c>
      <c r="T5" s="13">
        <f>IS!T4</f>
        <v>383</v>
      </c>
      <c r="U5" s="13">
        <f>IS!U4</f>
        <v>391</v>
      </c>
      <c r="V5" s="13">
        <f>IS!V4</f>
        <v>416.161</v>
      </c>
    </row>
    <row r="6" spans="2:22" x14ac:dyDescent="0.55000000000000004">
      <c r="B6" s="44" t="s">
        <v>12</v>
      </c>
      <c r="C6" s="45">
        <f>-IS!C5/IS!C$4</f>
        <v>0.71017344033134866</v>
      </c>
      <c r="D6" s="45">
        <f>-IS!D5/IS!D$4</f>
        <v>0.66033491627093233</v>
      </c>
      <c r="E6" s="45">
        <f>-IS!E5/IS!E$4</f>
        <v>0.64799551892454188</v>
      </c>
      <c r="F6" s="45">
        <f>-IS!F5/IS!F$4</f>
        <v>0.59860156158955835</v>
      </c>
      <c r="G6" s="45">
        <f>-IS!G5/IS!G$4</f>
        <v>0.60622460712916826</v>
      </c>
      <c r="H6" s="45">
        <f>-IS!H5/IS!H$4</f>
        <v>0.59521104121054236</v>
      </c>
      <c r="I6" s="45">
        <f>-IS!I5/IS!I$4</f>
        <v>0.56128760191172333</v>
      </c>
      <c r="J6" s="45">
        <f>-IS!J5/IS!J$4</f>
        <v>0.62375519279152769</v>
      </c>
      <c r="K6" s="45">
        <f>-IS!K5/IS!K$4</f>
        <v>0.61411964222216142</v>
      </c>
      <c r="L6" s="45">
        <f>-IS!L5/IS!L$4</f>
        <v>0.59940097982585627</v>
      </c>
      <c r="M6" s="45">
        <f>-IS!M5/IS!M$4</f>
        <v>0.60924044351902951</v>
      </c>
      <c r="N6" s="45">
        <f>-IS!N5/IS!N$4</f>
        <v>0.6153013950810089</v>
      </c>
      <c r="O6" s="45">
        <f>-IS!O5/IS!O$4</f>
        <v>0.6165628117999209</v>
      </c>
      <c r="P6" s="45">
        <f>-IS!P5/IS!P$4</f>
        <v>0.62182231890965289</v>
      </c>
      <c r="Q6" s="45">
        <f>-IS!Q5/IS!Q$4</f>
        <v>0.6176675227218914</v>
      </c>
      <c r="R6" s="45">
        <f>-IS!R5/IS!R$4</f>
        <v>0.58220640374832222</v>
      </c>
      <c r="S6" s="45">
        <f>-IS!S5/IS!S$4</f>
        <v>0.56852791878172593</v>
      </c>
      <c r="T6" s="45">
        <f>-IS!T5/IS!T$4</f>
        <v>0.55874673629242821</v>
      </c>
      <c r="U6" s="45">
        <f>-IS!U5/IS!U$4</f>
        <v>0.53708439897698212</v>
      </c>
      <c r="V6" s="45">
        <f>-IS!V5/IS!V$4</f>
        <v>0.53094835892839554</v>
      </c>
    </row>
    <row r="7" spans="2:22" ht="14.1" x14ac:dyDescent="0.55000000000000004">
      <c r="B7" s="12" t="s">
        <v>13</v>
      </c>
      <c r="C7" s="46">
        <f>IS!C6/IS!C$4</f>
        <v>0.28982655966865128</v>
      </c>
      <c r="D7" s="46">
        <f>IS!D6/IS!D$4</f>
        <v>0.33966508372906773</v>
      </c>
      <c r="E7" s="46">
        <f>IS!E6/IS!E$4</f>
        <v>0.35200448107545806</v>
      </c>
      <c r="F7" s="46">
        <f>IS!F6/IS!F$4</f>
        <v>0.4013984384104417</v>
      </c>
      <c r="G7" s="46">
        <f>IS!G6/IS!G$4</f>
        <v>0.3937753928708318</v>
      </c>
      <c r="H7" s="46">
        <f>IS!H6/IS!H$4</f>
        <v>0.40478895878945764</v>
      </c>
      <c r="I7" s="46">
        <f>IS!I6/IS!I$4</f>
        <v>0.43871239808827667</v>
      </c>
      <c r="J7" s="46">
        <f>IS!J6/IS!J$4</f>
        <v>0.37624480720847231</v>
      </c>
      <c r="K7" s="46">
        <f>IS!K6/IS!K$4</f>
        <v>0.38588035777783863</v>
      </c>
      <c r="L7" s="46">
        <f>IS!L6/IS!L$4</f>
        <v>0.40059902017414373</v>
      </c>
      <c r="M7" s="46">
        <f>IS!M6/IS!M$4</f>
        <v>0.39075955648097049</v>
      </c>
      <c r="N7" s="46">
        <f>IS!N6/IS!N$4</f>
        <v>0.3846986049189911</v>
      </c>
      <c r="O7" s="46">
        <f>IS!O6/IS!O$4</f>
        <v>0.38343718820007905</v>
      </c>
      <c r="P7" s="46">
        <f>IS!P6/IS!P$4</f>
        <v>0.37817768109034722</v>
      </c>
      <c r="Q7" s="46">
        <f>IS!Q6/IS!Q$4</f>
        <v>0.38233247727810871</v>
      </c>
      <c r="R7" s="46">
        <f>IS!R6/IS!R$4</f>
        <v>0.41779359625167778</v>
      </c>
      <c r="S7" s="46">
        <f>IS!S6/IS!S$4</f>
        <v>0.43401015228426398</v>
      </c>
      <c r="T7" s="46">
        <f>IS!T6/IS!T$4</f>
        <v>0.44125326370757179</v>
      </c>
      <c r="U7" s="46">
        <f>IS!U6/IS!U$4</f>
        <v>0.46291560102301788</v>
      </c>
      <c r="V7" s="46">
        <f>IS!V6/IS!V$4</f>
        <v>0.46905164107160446</v>
      </c>
    </row>
    <row r="8" spans="2:22" x14ac:dyDescent="0.55000000000000004">
      <c r="B8" s="11" t="s">
        <v>14</v>
      </c>
      <c r="C8" s="43">
        <f>-IS!C7/IS!C$4</f>
        <v>0.16282681853481748</v>
      </c>
      <c r="D8" s="43">
        <f>-IS!D7/IS!D$4</f>
        <v>0.15600266600016663</v>
      </c>
      <c r="E8" s="43">
        <f>-IS!E7/IS!E$4</f>
        <v>0.12989784214878239</v>
      </c>
      <c r="F8" s="43">
        <f>-IS!F7/IS!F$4</f>
        <v>0.12777065610068758</v>
      </c>
      <c r="G8" s="43">
        <f>-IS!G7/IS!G$4</f>
        <v>0.11190494442315065</v>
      </c>
      <c r="H8" s="43">
        <f>-IS!H7/IS!H$4</f>
        <v>9.2638269175696786E-2</v>
      </c>
      <c r="I8" s="43">
        <f>-IS!I7/IS!I$4</f>
        <v>8.5752804968436111E-2</v>
      </c>
      <c r="J8" s="43">
        <f>-IS!J7/IS!J$4</f>
        <v>8.9550055584810717E-2</v>
      </c>
      <c r="K8" s="43">
        <f>-IS!K7/IS!K$4</f>
        <v>9.8656965453103207E-2</v>
      </c>
      <c r="L8" s="43">
        <f>-IS!L7/IS!L$4</f>
        <v>9.5826113000877136E-2</v>
      </c>
      <c r="M8" s="43">
        <f>-IS!M7/IS!M$4</f>
        <v>0.11240545541390935</v>
      </c>
      <c r="N8" s="43">
        <f>-IS!N7/IS!N$4</f>
        <v>0.11709432283169162</v>
      </c>
      <c r="O8" s="43">
        <f>-IS!O7/IS!O$4</f>
        <v>0.11649692200530883</v>
      </c>
      <c r="P8" s="43">
        <f>-IS!P7/IS!P$4</f>
        <v>0.13245750920537797</v>
      </c>
      <c r="Q8" s="43">
        <f>-IS!Q7/IS!Q$4</f>
        <v>0.14085933373404003</v>
      </c>
      <c r="R8" s="43">
        <f>-IS!R7/IS!R$4</f>
        <v>0.11996982097606181</v>
      </c>
      <c r="S8" s="43">
        <f>-IS!S7/IS!S$4</f>
        <v>0.12944162436548223</v>
      </c>
      <c r="T8" s="43">
        <f>-IS!T7/IS!T$4</f>
        <v>0.14360313315926893</v>
      </c>
      <c r="U8" s="43">
        <f>-IS!U7/IS!U$4</f>
        <v>0.14833759590792839</v>
      </c>
      <c r="V8" s="43">
        <f>-IS!V7/IS!V$4</f>
        <v>0.14922109472055287</v>
      </c>
    </row>
    <row r="9" spans="2:22" x14ac:dyDescent="0.55000000000000004">
      <c r="B9" s="11" t="s">
        <v>15</v>
      </c>
      <c r="C9" s="43">
        <f>-IS!C8/IS!C$4</f>
        <v>3.6862542065751999E-2</v>
      </c>
      <c r="D9" s="43">
        <f>-IS!D8/IS!D$4</f>
        <v>3.2575189535949345E-2</v>
      </c>
      <c r="E9" s="43">
        <f>-IS!E8/IS!E$4</f>
        <v>2.9580432637166254E-2</v>
      </c>
      <c r="F9" s="43">
        <f>-IS!F8/IS!F$4</f>
        <v>3.1068640018645843E-2</v>
      </c>
      <c r="G9" s="43">
        <f>-IS!G8/IS!G$4</f>
        <v>2.732081257186662E-2</v>
      </c>
      <c r="H9" s="43">
        <f>-IS!H8/IS!H$4</f>
        <v>2.2439006364954873E-2</v>
      </c>
      <c r="I9" s="43">
        <f>-IS!I8/IS!I$4</f>
        <v>2.1602729572929177E-2</v>
      </c>
      <c r="J9" s="43">
        <f>-IS!J8/IS!J$4</f>
        <v>2.6183371365045928E-2</v>
      </c>
      <c r="K9" s="43">
        <f>-IS!K8/IS!K$4</f>
        <v>3.304794988922017E-2</v>
      </c>
      <c r="L9" s="43">
        <f>-IS!L8/IS!L$4</f>
        <v>3.4516398177267184E-2</v>
      </c>
      <c r="M9" s="43">
        <f>-IS!M8/IS!M$4</f>
        <v>4.6582482760539605E-2</v>
      </c>
      <c r="N9" s="43">
        <f>-IS!N8/IS!N$4</f>
        <v>5.0520428906706681E-2</v>
      </c>
      <c r="O9" s="43">
        <f>-IS!O8/IS!O$4</f>
        <v>5.3600406634161032E-2</v>
      </c>
      <c r="P9" s="43">
        <f>-IS!P8/IS!P$4</f>
        <v>6.233136285716482E-2</v>
      </c>
      <c r="Q9" s="43">
        <f>-IS!Q8/IS!Q$4</f>
        <v>6.8309564140393061E-2</v>
      </c>
      <c r="R9" s="43">
        <f>-IS!R8/IS!R$4</f>
        <v>5.9904269074427925E-2</v>
      </c>
      <c r="S9" s="43">
        <f>-IS!S8/IS!S$4</f>
        <v>6.5989847715736044E-2</v>
      </c>
      <c r="T9" s="43">
        <f>-IS!T8/IS!T$4</f>
        <v>7.8328981723237601E-2</v>
      </c>
      <c r="U9" s="43">
        <f>-IS!U8/IS!U$4</f>
        <v>7.9283887468030695E-2</v>
      </c>
      <c r="V9" s="43">
        <f>-IS!V8/IS!V$4</f>
        <v>8.3020753987038662E-2</v>
      </c>
    </row>
    <row r="10" spans="2:22" x14ac:dyDescent="0.55000000000000004">
      <c r="B10" s="44" t="s">
        <v>16</v>
      </c>
      <c r="C10" s="45">
        <f>-IS!C9/IS!C$4</f>
        <v>0.12596427646906547</v>
      </c>
      <c r="D10" s="45">
        <f>-IS!D9/IS!D$4</f>
        <v>0.12342747646421728</v>
      </c>
      <c r="E10" s="45">
        <f>-IS!E9/IS!E$4</f>
        <v>0.10031740951161612</v>
      </c>
      <c r="F10" s="45">
        <f>-IS!F9/IS!F$4</f>
        <v>9.6702016082041722E-2</v>
      </c>
      <c r="G10" s="45">
        <f>-IS!G9/IS!G$4</f>
        <v>8.4584131851284036E-2</v>
      </c>
      <c r="H10" s="45">
        <f>-IS!H9/IS!H$4</f>
        <v>7.0199262810741903E-2</v>
      </c>
      <c r="I10" s="45">
        <f>-IS!I9/IS!I$4</f>
        <v>6.4150075395506934E-2</v>
      </c>
      <c r="J10" s="45">
        <f>-IS!J9/IS!J$4</f>
        <v>6.3366684219764796E-2</v>
      </c>
      <c r="K10" s="45">
        <f>-IS!K9/IS!K$4</f>
        <v>6.5609015563883044E-2</v>
      </c>
      <c r="L10" s="45">
        <f>-IS!L9/IS!L$4</f>
        <v>6.1309714823609952E-2</v>
      </c>
      <c r="M10" s="45">
        <f>-IS!M9/IS!M$4</f>
        <v>6.5822972653369755E-2</v>
      </c>
      <c r="N10" s="45">
        <f>-IS!N9/IS!N$4</f>
        <v>6.6573893924984945E-2</v>
      </c>
      <c r="O10" s="45">
        <f>-IS!O9/IS!O$4</f>
        <v>6.2896515371147793E-2</v>
      </c>
      <c r="P10" s="45">
        <f>-IS!P9/IS!P$4</f>
        <v>7.0126146348213125E-2</v>
      </c>
      <c r="Q10" s="45">
        <f>-IS!Q9/IS!Q$4</f>
        <v>7.2549769593646979E-2</v>
      </c>
      <c r="R10" s="45">
        <f>-IS!R9/IS!R$4</f>
        <v>6.0065551901633873E-2</v>
      </c>
      <c r="S10" s="45">
        <f>-IS!S9/IS!S$4</f>
        <v>6.3451776649746189E-2</v>
      </c>
      <c r="T10" s="45">
        <f>-IS!T9/IS!T$4</f>
        <v>6.5274151436031339E-2</v>
      </c>
      <c r="U10" s="45">
        <f>-IS!U9/IS!U$4</f>
        <v>6.6496163682864456E-2</v>
      </c>
      <c r="V10" s="45">
        <f>-IS!V9/IS!V$4</f>
        <v>6.6322889458647005E-2</v>
      </c>
    </row>
    <row r="11" spans="2:22" ht="14.1" x14ac:dyDescent="0.55000000000000004">
      <c r="B11" s="12" t="s">
        <v>17</v>
      </c>
      <c r="C11" s="46">
        <f>IS!C10/IS!C$4</f>
        <v>0.1269997411338338</v>
      </c>
      <c r="D11" s="46">
        <f>IS!D10/IS!D$4</f>
        <v>0.1836624177289011</v>
      </c>
      <c r="E11" s="46">
        <f>IS!E10/IS!E$4</f>
        <v>0.22210663892667573</v>
      </c>
      <c r="F11" s="46">
        <f>IS!F10/IS!F$4</f>
        <v>0.2736277823097541</v>
      </c>
      <c r="G11" s="46">
        <f>IS!G10/IS!G$4</f>
        <v>0.28187044844768117</v>
      </c>
      <c r="H11" s="46">
        <f>IS!H10/IS!H$4</f>
        <v>0.31215068961376086</v>
      </c>
      <c r="I11" s="46">
        <f>IS!I10/IS!I$4</f>
        <v>0.35295959311984049</v>
      </c>
      <c r="J11" s="46">
        <f>IS!J10/IS!J$4</f>
        <v>0.28669475162366159</v>
      </c>
      <c r="K11" s="46">
        <f>IS!K10/IS!K$4</f>
        <v>0.28722339232473537</v>
      </c>
      <c r="L11" s="46">
        <f>IS!L10/IS!L$4</f>
        <v>0.30477290717326661</v>
      </c>
      <c r="M11" s="46">
        <f>IS!M10/IS!M$4</f>
        <v>0.27835410106706115</v>
      </c>
      <c r="N11" s="46">
        <f>IS!N10/IS!N$4</f>
        <v>0.26760428208729942</v>
      </c>
      <c r="O11" s="46">
        <f>IS!O10/IS!O$4</f>
        <v>0.26694026619477018</v>
      </c>
      <c r="P11" s="46">
        <f>IS!P10/IS!P$4</f>
        <v>0.24572017188496931</v>
      </c>
      <c r="Q11" s="46">
        <f>IS!Q10/IS!Q$4</f>
        <v>0.24147314354406868</v>
      </c>
      <c r="R11" s="46">
        <f>IS!R10/IS!R$4</f>
        <v>0.29782377527561593</v>
      </c>
      <c r="S11" s="46">
        <f>IS!S10/IS!S$4</f>
        <v>0.30304568527918785</v>
      </c>
      <c r="T11" s="46">
        <f>IS!T10/IS!T$4</f>
        <v>0.29765013054830286</v>
      </c>
      <c r="U11" s="46">
        <f>IS!U10/IS!U$4</f>
        <v>0.31508951406649616</v>
      </c>
      <c r="V11" s="46">
        <f>IS!V10/IS!V$4</f>
        <v>0.31970799762591884</v>
      </c>
    </row>
    <row r="12" spans="2:22" x14ac:dyDescent="0.55000000000000004">
      <c r="B12" s="11" t="s">
        <v>18</v>
      </c>
      <c r="C12" s="43">
        <f>-IS!C11/IS!C$4</f>
        <v>-1.8897230132021742E-2</v>
      </c>
      <c r="D12" s="43">
        <f>-IS!D11/IS!D$4</f>
        <v>-2.4952095309505956E-2</v>
      </c>
      <c r="E12" s="43">
        <f>-IS!E11/IS!E$4</f>
        <v>-1.6537302285881943E-2</v>
      </c>
      <c r="F12" s="43">
        <f>-IS!F11/IS!F$4</f>
        <v>-7.5981820300664261E-3</v>
      </c>
      <c r="G12" s="43">
        <f>-IS!G11/IS!G$4</f>
        <v>-2.3763894212341895E-3</v>
      </c>
      <c r="H12" s="43">
        <f>-IS!H11/IS!H$4</f>
        <v>-3.8337536605418986E-3</v>
      </c>
      <c r="I12" s="43">
        <f>-IS!I11/IS!I$4</f>
        <v>-3.3352927645871138E-3</v>
      </c>
      <c r="J12" s="43">
        <f>-IS!J11/IS!J$4</f>
        <v>-6.7637938096073956E-3</v>
      </c>
      <c r="K12" s="43">
        <f>-IS!K11/IS!K$4</f>
        <v>-5.3611969692825296E-3</v>
      </c>
      <c r="L12" s="43">
        <f>-IS!L11/IS!L$4</f>
        <v>-5.4981494555334486E-3</v>
      </c>
      <c r="M12" s="43">
        <f>-IS!M11/IS!M$4</f>
        <v>-6.2511883286418502E-3</v>
      </c>
      <c r="N12" s="43">
        <f>-IS!N11/IS!N$4</f>
        <v>-1.1974663444340717E-2</v>
      </c>
      <c r="O12" s="43">
        <f>-IS!O11/IS!O$4</f>
        <v>-7.549087896986011E-3</v>
      </c>
      <c r="P12" s="43">
        <f>-IS!P11/IS!P$4</f>
        <v>-6.9453519567673943E-3</v>
      </c>
      <c r="Q12" s="43">
        <f>-IS!Q11/IS!Q$4</f>
        <v>-2.9251589166347926E-3</v>
      </c>
      <c r="R12" s="43">
        <f>-IS!R11/IS!R$4</f>
        <v>-7.0527066812094575E-4</v>
      </c>
      <c r="S12" s="43">
        <f>-IS!S11/IS!S$4</f>
        <v>7.614213197969543E-4</v>
      </c>
      <c r="T12" s="43">
        <f>-IS!T11/IS!T$4</f>
        <v>1.3054830287206266E-3</v>
      </c>
      <c r="U12" s="43">
        <f>-IS!U11/IS!U$4</f>
        <v>-7.6726342710997436E-4</v>
      </c>
      <c r="V12" s="43">
        <f>-IS!V11/IS!V$4</f>
        <v>7.7133609348305101E-4</v>
      </c>
    </row>
    <row r="13" spans="2:22" ht="14.1" x14ac:dyDescent="0.55000000000000004">
      <c r="B13" s="47" t="s">
        <v>115</v>
      </c>
      <c r="C13" s="48">
        <f>IS!C12/IS!C$4</f>
        <v>0.14589697126585555</v>
      </c>
      <c r="D13" s="48">
        <f>IS!D12/IS!D$4</f>
        <v>0.20861451303840706</v>
      </c>
      <c r="E13" s="48">
        <f>IS!E12/IS!E$4</f>
        <v>0.23864394121255766</v>
      </c>
      <c r="F13" s="48">
        <f>IS!F12/IS!F$4</f>
        <v>0.28122596433982056</v>
      </c>
      <c r="G13" s="48">
        <f>IS!G12/IS!G$4</f>
        <v>0.2842468378689153</v>
      </c>
      <c r="H13" s="48">
        <f>IS!H12/IS!H$4</f>
        <v>0.31598444327430275</v>
      </c>
      <c r="I13" s="48">
        <f>IS!I12/IS!I$4</f>
        <v>0.35629488588442759</v>
      </c>
      <c r="J13" s="48">
        <f>IS!J12/IS!J$4</f>
        <v>0.29345854543326899</v>
      </c>
      <c r="K13" s="48">
        <f>IS!K12/IS!K$4</f>
        <v>0.29258458929401787</v>
      </c>
      <c r="L13" s="48">
        <f>IS!L12/IS!L$4</f>
        <v>0.31027105662880006</v>
      </c>
      <c r="M13" s="48">
        <f>IS!M12/IS!M$4</f>
        <v>0.28460528939570301</v>
      </c>
      <c r="N13" s="48">
        <f>IS!N12/IS!N$4</f>
        <v>0.27957894553164014</v>
      </c>
      <c r="O13" s="48">
        <f>IS!O12/IS!O$4</f>
        <v>0.27448935409175623</v>
      </c>
      <c r="P13" s="48">
        <f>IS!P12/IS!P$4</f>
        <v>0.25266552384173668</v>
      </c>
      <c r="Q13" s="48">
        <f>IS!Q12/IS!Q$4</f>
        <v>0.24439830246070346</v>
      </c>
      <c r="R13" s="48">
        <f>IS!R12/IS!R$4</f>
        <v>0.29852904594373686</v>
      </c>
      <c r="S13" s="48">
        <f>IS!S12/IS!S$4</f>
        <v>0.30228426395939084</v>
      </c>
      <c r="T13" s="48">
        <f>IS!T12/IS!T$4</f>
        <v>0.29765013054830286</v>
      </c>
      <c r="U13" s="48">
        <f>IS!U12/IS!U$4</f>
        <v>0.31585677749360613</v>
      </c>
      <c r="V13" s="48">
        <f>IS!V12/IS!V$4</f>
        <v>0.31893666153243577</v>
      </c>
    </row>
    <row r="14" spans="2:22" x14ac:dyDescent="0.55000000000000004">
      <c r="B14" s="11" t="s">
        <v>20</v>
      </c>
      <c r="C14" s="43">
        <f>-IS!C13/IS!C$4</f>
        <v>4.292001035464664E-2</v>
      </c>
      <c r="D14" s="43">
        <f>-IS!D13/IS!D$4</f>
        <v>6.2984253936515869E-2</v>
      </c>
      <c r="E14" s="43">
        <f>-IS!E13/IS!E$4</f>
        <v>7.5431436878184099E-2</v>
      </c>
      <c r="F14" s="43">
        <f>-IS!F13/IS!F$4</f>
        <v>8.9290292506700841E-2</v>
      </c>
      <c r="G14" s="43">
        <f>-IS!G13/IS!G$4</f>
        <v>6.9405902644691458E-2</v>
      </c>
      <c r="H14" s="43">
        <f>-IS!H13/IS!H$4</f>
        <v>7.6518027880165179E-2</v>
      </c>
      <c r="I14" s="43">
        <f>-IS!I13/IS!I$4</f>
        <v>8.9643979860454415E-2</v>
      </c>
      <c r="J14" s="43">
        <f>-IS!J13/IS!J$4</f>
        <v>7.6753847054005037E-2</v>
      </c>
      <c r="K14" s="43">
        <f>-IS!K13/IS!K$4</f>
        <v>7.6440821685494695E-2</v>
      </c>
      <c r="L14" s="43">
        <f>-IS!L13/IS!L$4</f>
        <v>8.181331964144363E-2</v>
      </c>
      <c r="M14" s="43">
        <f>-IS!M13/IS!M$4</f>
        <v>7.2737306331415008E-2</v>
      </c>
      <c r="N14" s="43">
        <f>-IS!N13/IS!N$4</f>
        <v>6.8654737080886777E-2</v>
      </c>
      <c r="O14" s="43">
        <f>-IS!O13/IS!O$4</f>
        <v>5.0347333345883767E-2</v>
      </c>
      <c r="P14" s="43">
        <f>-IS!P13/IS!P$4</f>
        <v>4.0284578781892122E-2</v>
      </c>
      <c r="Q14" s="43">
        <f>-IS!Q13/IS!Q$4</f>
        <v>3.5262189679981057E-2</v>
      </c>
      <c r="R14" s="43">
        <f>-IS!R13/IS!R$4</f>
        <v>3.9711112386794485E-2</v>
      </c>
      <c r="S14" s="43">
        <f>-IS!S13/IS!S$4</f>
        <v>4.8984771573604063E-2</v>
      </c>
      <c r="T14" s="43">
        <f>-IS!T13/IS!T$4</f>
        <v>4.6997389033942558E-2</v>
      </c>
      <c r="U14" s="43">
        <f>-IS!U13/IS!U$4</f>
        <v>7.6726342710997444E-2</v>
      </c>
      <c r="V14" s="43">
        <f>-IS!V13/IS!V$4</f>
        <v>4.9786020314253381E-2</v>
      </c>
    </row>
    <row r="15" spans="2:22" ht="14.1" x14ac:dyDescent="0.55000000000000004">
      <c r="B15" s="47" t="s">
        <v>21</v>
      </c>
      <c r="C15" s="48">
        <f>IS!C14/IS!C$4</f>
        <v>0.10297696091120891</v>
      </c>
      <c r="D15" s="48">
        <f>IS!D14/IS!D$4</f>
        <v>0.1456302591018912</v>
      </c>
      <c r="E15" s="48">
        <f>IS!E14/IS!E$4</f>
        <v>0.16321250433437356</v>
      </c>
      <c r="F15" s="48">
        <f>IS!F14/IS!F$4</f>
        <v>0.19193567183311966</v>
      </c>
      <c r="G15" s="48">
        <f>IS!G14/IS!G$4</f>
        <v>0.21484093522422384</v>
      </c>
      <c r="H15" s="48">
        <f>IS!H14/IS!H$4</f>
        <v>0.2394664153941376</v>
      </c>
      <c r="I15" s="48">
        <f>IS!I14/IS!I$4</f>
        <v>0.26665090602397318</v>
      </c>
      <c r="J15" s="48">
        <f>IS!J14/IS!J$4</f>
        <v>0.21670469837926393</v>
      </c>
      <c r="K15" s="48">
        <f>IS!K14/IS!K$4</f>
        <v>0.21614376760852322</v>
      </c>
      <c r="L15" s="48">
        <f>IS!L14/IS!L$4</f>
        <v>0.22845773698735639</v>
      </c>
      <c r="M15" s="48">
        <f>IS!M14/IS!M$4</f>
        <v>0.21186798306428797</v>
      </c>
      <c r="N15" s="48">
        <f>IS!N14/IS!N$4</f>
        <v>0.21092420845075335</v>
      </c>
      <c r="O15" s="48">
        <f>IS!O14/IS!O$4</f>
        <v>0.22414202074587244</v>
      </c>
      <c r="P15" s="48">
        <f>IS!P14/IS!P$4</f>
        <v>0.21238094505984459</v>
      </c>
      <c r="Q15" s="48">
        <f>IS!Q14/IS!Q$4</f>
        <v>0.20913611278072242</v>
      </c>
      <c r="R15" s="48">
        <f>IS!R14/IS!R$4</f>
        <v>0.25881793355694244</v>
      </c>
      <c r="S15" s="48">
        <f>IS!S14/IS!S$4</f>
        <v>0.25380710659898476</v>
      </c>
      <c r="T15" s="48">
        <f>IS!T14/IS!T$4</f>
        <v>0.25326370757180156</v>
      </c>
      <c r="U15" s="48">
        <f>IS!U14/IS!U$4</f>
        <v>0.23964194373401534</v>
      </c>
      <c r="V15" s="48">
        <f>IS!V14/IS!V$4</f>
        <v>0.26915064121818238</v>
      </c>
    </row>
    <row r="17" spans="2:22" x14ac:dyDescent="0.55000000000000004">
      <c r="B17" s="10" t="s">
        <v>116</v>
      </c>
      <c r="D17" s="43">
        <f>(D5-C5)/C5</f>
        <v>0.24286823712140815</v>
      </c>
      <c r="E17" s="43">
        <f t="shared" ref="E17:M17" si="0">(E5-D5)/D5</f>
        <v>0.56173456635841035</v>
      </c>
      <c r="F17" s="43">
        <f t="shared" si="0"/>
        <v>0.14440799125123366</v>
      </c>
      <c r="G17" s="43">
        <f t="shared" si="0"/>
        <v>0.52021908868430233</v>
      </c>
      <c r="H17" s="43">
        <f t="shared" si="0"/>
        <v>0.65962437715599853</v>
      </c>
      <c r="I17" s="43">
        <f t="shared" si="0"/>
        <v>0.44581474193757004</v>
      </c>
      <c r="J17" s="43">
        <f t="shared" si="0"/>
        <v>9.2020855163953197E-2</v>
      </c>
      <c r="K17" s="43">
        <f t="shared" si="0"/>
        <v>6.953952372593758E-2</v>
      </c>
      <c r="L17" s="43">
        <f t="shared" si="0"/>
        <v>0.27856341803659851</v>
      </c>
      <c r="M17" s="43">
        <f t="shared" si="0"/>
        <v>-7.7342061913013682E-2</v>
      </c>
      <c r="N17" s="43">
        <f t="shared" ref="N17:V17" si="1">(N5-M5)/M5</f>
        <v>6.3045181993980667E-2</v>
      </c>
      <c r="O17" s="43">
        <f t="shared" si="1"/>
        <v>0.15861957650261313</v>
      </c>
      <c r="P17" s="43">
        <f t="shared" si="1"/>
        <v>-2.0410775805267602E-2</v>
      </c>
      <c r="Q17" s="43">
        <f t="shared" si="1"/>
        <v>5.5120803769784871E-2</v>
      </c>
      <c r="R17" s="43">
        <f t="shared" si="1"/>
        <v>0.33259384733074704</v>
      </c>
      <c r="S17" s="43">
        <f t="shared" si="1"/>
        <v>7.7041252866870566E-2</v>
      </c>
      <c r="T17" s="43">
        <f t="shared" si="1"/>
        <v>-2.7918781725888325E-2</v>
      </c>
      <c r="U17" s="43">
        <f t="shared" si="1"/>
        <v>2.0887728459530026E-2</v>
      </c>
      <c r="V17" s="43">
        <f t="shared" si="1"/>
        <v>6.4350383631713554E-2</v>
      </c>
    </row>
    <row r="18" spans="2:22" x14ac:dyDescent="0.55000000000000004">
      <c r="B18" s="10" t="s">
        <v>181</v>
      </c>
      <c r="D18" s="43">
        <f>(IS!D6-IS!C6)/IS!C6</f>
        <v>0.45659163987138268</v>
      </c>
      <c r="E18" s="43">
        <f>(IS!E6-IS!D6)/IS!D6</f>
        <v>0.61846946284032367</v>
      </c>
      <c r="F18" s="43">
        <f>(IS!F6-IS!E6)/IS!E6</f>
        <v>0.30499355914222948</v>
      </c>
      <c r="G18" s="43">
        <f>(IS!G6-IS!F6)/IS!F6</f>
        <v>0.4913482754616188</v>
      </c>
      <c r="H18" s="43">
        <f>(IS!H6-IS!G6)/IS!G6</f>
        <v>0.70604267248092178</v>
      </c>
      <c r="I18" s="43">
        <f>(IS!I6-IS!H6)/IS!H6</f>
        <v>0.56698160573280409</v>
      </c>
      <c r="J18" s="43">
        <f>(IS!J6-IS!I6)/IS!I6</f>
        <v>-6.3470332935248078E-2</v>
      </c>
      <c r="K18" s="43">
        <f>(IS!K6-IS!J6)/IS!J6</f>
        <v>9.693020651903464E-2</v>
      </c>
      <c r="L18" s="43">
        <f>(IS!L6-IS!K6)/IS!K6</f>
        <v>0.32733175496547906</v>
      </c>
      <c r="M18" s="43">
        <f>(IS!M6-IS!L6)/IS!L6</f>
        <v>-0.10000427231751863</v>
      </c>
      <c r="N18" s="43">
        <f>(IS!N6-IS!M6)/IS!M6</f>
        <v>4.6556614409646008E-2</v>
      </c>
      <c r="O18" s="43">
        <f>(IS!O6-IS!N6)/IS!N6</f>
        <v>0.15482049304878315</v>
      </c>
      <c r="P18" s="43">
        <f>(IS!P6-IS!O6)/IS!O6</f>
        <v>-3.3847543671874258E-2</v>
      </c>
      <c r="Q18" s="43">
        <f>(IS!Q6-IS!P6)/IS!P6</f>
        <v>6.6712740873241805E-2</v>
      </c>
      <c r="R18" s="43">
        <f>(IS!R6-IS!Q6)/IS!Q6</f>
        <v>0.45619116582186831</v>
      </c>
      <c r="S18" s="43">
        <f>(IS!S6-IS!R6)/IS!R6</f>
        <v>0.11884634510193924</v>
      </c>
      <c r="T18" s="43">
        <f>(IS!T6-IS!S6)/IS!S6</f>
        <v>-1.1695906432748537E-2</v>
      </c>
      <c r="U18" s="43">
        <f>(IS!U6-IS!T6)/IS!T6</f>
        <v>7.1005917159763315E-2</v>
      </c>
      <c r="V18" s="43">
        <f>(IS!V6-IS!U6)/IS!U6</f>
        <v>7.845856353591156E-2</v>
      </c>
    </row>
    <row r="19" spans="2:22" x14ac:dyDescent="0.55000000000000004">
      <c r="B19" s="10" t="s">
        <v>179</v>
      </c>
      <c r="D19" s="43">
        <f>(IS!D10-IS!C10)/IS!C10</f>
        <v>0.79739094985731762</v>
      </c>
      <c r="E19" s="43">
        <f>(IS!E10-IS!D10)/IS!D10</f>
        <v>0.88863687911090961</v>
      </c>
      <c r="F19" s="43">
        <f>(IS!F10-IS!E10)/IS!E10</f>
        <v>0.40987150234177977</v>
      </c>
      <c r="G19" s="43">
        <f>(IS!G10-IS!F10)/IS!F10</f>
        <v>0.56601362862010229</v>
      </c>
      <c r="H19" s="43">
        <f>(IS!H10-IS!G10)/IS!G10</f>
        <v>0.83791134076692941</v>
      </c>
      <c r="I19" s="43">
        <f>(IS!I10-IS!H10)/IS!H10</f>
        <v>0.63483279076649901</v>
      </c>
      <c r="J19" s="43">
        <f>(IS!J10-IS!I10)/IS!I10</f>
        <v>-0.11299578211835408</v>
      </c>
      <c r="K19" s="43">
        <f>(IS!K10-IS!J10)/IS!J10</f>
        <v>7.151166350333675E-2</v>
      </c>
      <c r="L19" s="43">
        <f>(IS!L10-IS!K10)/IS!K10</f>
        <v>0.35668437994019397</v>
      </c>
      <c r="M19" s="43">
        <f>(IS!M10-IS!L10)/IS!L10</f>
        <v>-0.15732135336234737</v>
      </c>
      <c r="N19" s="43">
        <f>(IS!N10-IS!M10)/IS!M10</f>
        <v>2.1991203518592569E-2</v>
      </c>
      <c r="O19" s="43">
        <f>(IS!O10-IS!N10)/IS!N10</f>
        <v>0.15574465310380795</v>
      </c>
      <c r="P19" s="43">
        <f>(IS!P10-IS!O10)/IS!O10</f>
        <v>-9.828203898558488E-2</v>
      </c>
      <c r="Q19" s="43">
        <f>(IS!Q10-IS!P10)/IS!P10</f>
        <v>3.6884091975598485E-2</v>
      </c>
      <c r="R19" s="43">
        <f>(IS!R10-IS!Q10)/IS!Q10</f>
        <v>0.64357048032826425</v>
      </c>
      <c r="S19" s="43">
        <f>(IS!S10-IS!R10)/IS!R10</f>
        <v>9.5925616572891975E-2</v>
      </c>
      <c r="T19" s="43">
        <f>(IS!T10-IS!S10)/IS!S10</f>
        <v>-4.5226130653266375E-2</v>
      </c>
      <c r="U19" s="43">
        <f>(IS!U10-IS!T10)/IS!T10</f>
        <v>8.0701754385964941E-2</v>
      </c>
      <c r="V19" s="43">
        <f>(IS!V10-IS!U10)/IS!U10</f>
        <v>7.9951298701298773E-2</v>
      </c>
    </row>
    <row r="20" spans="2:22" x14ac:dyDescent="0.55000000000000004">
      <c r="B20" s="10" t="s">
        <v>180</v>
      </c>
      <c r="D20" s="43">
        <f>(IS!D14-IS!C14)/IS!C14</f>
        <v>0.75766716943187518</v>
      </c>
      <c r="E20" s="43">
        <f>(IS!E14-IS!D14)/IS!D14</f>
        <v>0.75028604118993125</v>
      </c>
      <c r="F20" s="43">
        <f>(IS!F14-IS!E14)/IS!E14</f>
        <v>0.34580813858473602</v>
      </c>
      <c r="G20" s="43">
        <f>(IS!G14-IS!F14)/IS!F14</f>
        <v>0.70163934426229524</v>
      </c>
      <c r="H20" s="43">
        <f>(IS!H14-IS!G14)/IS!G14</f>
        <v>0.84985370727181908</v>
      </c>
      <c r="I20" s="43">
        <f>(IS!I14-IS!H14)/IS!H14</f>
        <v>0.60994522027621312</v>
      </c>
      <c r="J20" s="43">
        <f>(IS!J14-IS!I14)/IS!I14</f>
        <v>-0.1125248604222078</v>
      </c>
      <c r="K20" s="43">
        <f>(IS!K14-IS!J14)/IS!J14</f>
        <v>6.6771066771066742E-2</v>
      </c>
      <c r="L20" s="43">
        <f>(IS!L14-IS!K14)/IS!K14</f>
        <v>0.3514047076689446</v>
      </c>
      <c r="M20" s="43">
        <f>(IS!M14-IS!L14)/IS!L14</f>
        <v>-0.14434206090571977</v>
      </c>
      <c r="N20" s="43">
        <f>(IS!N14-IS!M14)/IS!M14</f>
        <v>5.8309803664062021E-2</v>
      </c>
      <c r="O20" s="43">
        <f>(IS!O14-IS!N14)/IS!N14</f>
        <v>0.23122582780087278</v>
      </c>
      <c r="P20" s="43">
        <f>(IS!P14-IS!O14)/IS!O14</f>
        <v>-7.1811325191916797E-2</v>
      </c>
      <c r="Q20" s="43">
        <f>(IS!Q14-IS!P14)/IS!P14</f>
        <v>3.9000289561314759E-2</v>
      </c>
      <c r="R20" s="43">
        <f>(IS!R14-IS!Q14)/IS!Q14</f>
        <v>0.64916131055024284</v>
      </c>
      <c r="S20" s="43">
        <f>(IS!S14-IS!R14)/IS!R14</f>
        <v>5.6189269117025695E-2</v>
      </c>
      <c r="T20" s="43">
        <f>(IS!T14-IS!S14)/IS!S14</f>
        <v>-0.03</v>
      </c>
      <c r="U20" s="43">
        <f>(IS!U14-IS!T14)/IS!T14</f>
        <v>-3.4020618556701E-2</v>
      </c>
      <c r="V20" s="43">
        <f>(IS!V14-IS!U14)/IS!U14</f>
        <v>0.1954108858057631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24"/>
  <sheetViews>
    <sheetView zoomScaleNormal="100" workbookViewId="0"/>
  </sheetViews>
  <sheetFormatPr defaultColWidth="9.1015625" defaultRowHeight="13.8" x14ac:dyDescent="0.45"/>
  <cols>
    <col min="1" max="1" width="4.41796875" style="17" customWidth="1"/>
    <col min="2" max="16384" width="9.1015625" style="17"/>
  </cols>
  <sheetData>
    <row r="2" spans="2:2" s="10" customFormat="1" ht="14.1" x14ac:dyDescent="0.55000000000000004">
      <c r="B2" s="18" t="s">
        <v>173</v>
      </c>
    </row>
    <row r="3" spans="2:2" s="10" customFormat="1" x14ac:dyDescent="0.55000000000000004"/>
    <row r="4" spans="2:2" s="10" customFormat="1" ht="14.1" x14ac:dyDescent="0.55000000000000004">
      <c r="B4" s="16" t="s">
        <v>114</v>
      </c>
    </row>
    <row r="5" spans="2:2" s="10" customFormat="1" x14ac:dyDescent="0.55000000000000004"/>
    <row r="6" spans="2:2" s="10" customFormat="1" x14ac:dyDescent="0.55000000000000004"/>
    <row r="7" spans="2:2" s="10" customFormat="1" x14ac:dyDescent="0.55000000000000004"/>
    <row r="8" spans="2:2" s="10" customFormat="1" x14ac:dyDescent="0.55000000000000004"/>
    <row r="9" spans="2:2" s="10" customFormat="1" x14ac:dyDescent="0.55000000000000004"/>
    <row r="10" spans="2:2" s="10" customFormat="1" x14ac:dyDescent="0.55000000000000004"/>
    <row r="11" spans="2:2" s="10" customFormat="1" x14ac:dyDescent="0.55000000000000004"/>
    <row r="12" spans="2:2" s="10" customFormat="1" x14ac:dyDescent="0.55000000000000004"/>
    <row r="13" spans="2:2" s="10" customFormat="1" x14ac:dyDescent="0.55000000000000004"/>
    <row r="14" spans="2:2" s="10" customFormat="1" x14ac:dyDescent="0.55000000000000004"/>
    <row r="15" spans="2:2" s="10" customFormat="1" x14ac:dyDescent="0.55000000000000004"/>
    <row r="16" spans="2:2" s="10" customFormat="1" x14ac:dyDescent="0.55000000000000004"/>
    <row r="17" spans="2:2" s="10" customFormat="1" x14ac:dyDescent="0.55000000000000004"/>
    <row r="18" spans="2:2" s="10" customFormat="1" x14ac:dyDescent="0.55000000000000004"/>
    <row r="19" spans="2:2" s="10" customFormat="1" x14ac:dyDescent="0.55000000000000004"/>
    <row r="20" spans="2:2" s="10" customFormat="1" x14ac:dyDescent="0.55000000000000004"/>
    <row r="21" spans="2:2" s="10" customFormat="1" x14ac:dyDescent="0.55000000000000004"/>
    <row r="22" spans="2:2" s="10" customFormat="1" x14ac:dyDescent="0.55000000000000004"/>
    <row r="23" spans="2:2" s="10" customFormat="1" ht="14.1" x14ac:dyDescent="0.55000000000000004">
      <c r="B23" s="16" t="s">
        <v>117</v>
      </c>
    </row>
    <row r="24" spans="2:2" s="10" customFormat="1" x14ac:dyDescent="0.55000000000000004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B2:V8"/>
  <sheetViews>
    <sheetView zoomScaleNormal="100" workbookViewId="0"/>
  </sheetViews>
  <sheetFormatPr defaultColWidth="9.1015625" defaultRowHeight="13.8" outlineLevelCol="1" x14ac:dyDescent="0.55000000000000004"/>
  <cols>
    <col min="1" max="1" width="3.26171875" style="10" customWidth="1"/>
    <col min="2" max="2" width="34.68359375" style="10" customWidth="1"/>
    <col min="3" max="3" width="10.26171875" style="10" customWidth="1"/>
    <col min="4" max="7" width="8.68359375" style="10" customWidth="1" outlineLevel="1"/>
    <col min="8" max="18" width="8.68359375" style="10" customWidth="1"/>
    <col min="19" max="16384" width="9.1015625" style="10"/>
  </cols>
  <sheetData>
    <row r="2" spans="2:22" ht="14.1" x14ac:dyDescent="0.55000000000000004">
      <c r="B2" s="15" t="s">
        <v>182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22" ht="14.1" x14ac:dyDescent="0.55000000000000004">
      <c r="B3" s="8"/>
      <c r="C3" s="9"/>
      <c r="D3" s="9"/>
      <c r="E3" s="9"/>
      <c r="F3" s="9"/>
      <c r="G3" s="9"/>
      <c r="H3" s="9"/>
      <c r="I3" s="9"/>
      <c r="J3" s="9"/>
      <c r="K3" s="9"/>
      <c r="L3" s="9"/>
    </row>
    <row r="4" spans="2:22" ht="14.1" x14ac:dyDescent="0.55000000000000004">
      <c r="B4" s="8"/>
      <c r="C4" s="9"/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</v>
      </c>
      <c r="L4" s="12" t="s">
        <v>1</v>
      </c>
      <c r="M4" s="12" t="s">
        <v>186</v>
      </c>
      <c r="N4" s="12" t="s">
        <v>187</v>
      </c>
      <c r="O4" s="12" t="s">
        <v>189</v>
      </c>
      <c r="P4" s="12" t="s">
        <v>191</v>
      </c>
      <c r="Q4" s="12" t="str">
        <f>IS!Q3</f>
        <v>Sep '20</v>
      </c>
      <c r="R4" s="12" t="str">
        <f>IS!R3</f>
        <v>Sep '21</v>
      </c>
      <c r="S4" s="12" t="str">
        <f>IS!S3</f>
        <v>Sep '22</v>
      </c>
      <c r="T4" s="12" t="str">
        <f>IS!T3</f>
        <v>Sep '23</v>
      </c>
      <c r="U4" s="12" t="str">
        <f>IS!U3</f>
        <v>Sep '24</v>
      </c>
      <c r="V4" s="12" t="str">
        <f>IS!V3</f>
        <v>Sep '25</v>
      </c>
    </row>
    <row r="5" spans="2:22" x14ac:dyDescent="0.55000000000000004">
      <c r="B5" s="10" t="s">
        <v>116</v>
      </c>
      <c r="D5" s="43">
        <f>(IS!D4-IS!C4)/IS!C4</f>
        <v>0.24286823712140815</v>
      </c>
      <c r="E5" s="43">
        <f>(IS!E4-IS!D4)/IS!D4</f>
        <v>0.56173456635841035</v>
      </c>
      <c r="F5" s="43">
        <f>(IS!F4-IS!E4)/IS!E4</f>
        <v>0.14440799125123366</v>
      </c>
      <c r="G5" s="43">
        <f>(IS!G4-IS!F4)/IS!F4</f>
        <v>0.52021908868430233</v>
      </c>
      <c r="H5" s="43">
        <f>(IS!H4-IS!G4)/IS!G4</f>
        <v>0.65962437715599853</v>
      </c>
      <c r="I5" s="43">
        <f>(IS!I4-IS!H4)/IS!H4</f>
        <v>0.44581474193757004</v>
      </c>
      <c r="J5" s="43">
        <f>(IS!J4-IS!I4)/IS!I4</f>
        <v>9.2020855163953197E-2</v>
      </c>
      <c r="K5" s="43">
        <f>(IS!K4-IS!J4)/IS!J4</f>
        <v>6.953952372593758E-2</v>
      </c>
      <c r="L5" s="43">
        <f>(IS!L4-IS!K4)/IS!K4</f>
        <v>0.27856341803659851</v>
      </c>
      <c r="M5" s="43">
        <f>(IS!M4-IS!L4)/IS!L4</f>
        <v>-7.7342061913013682E-2</v>
      </c>
      <c r="N5" s="43">
        <f>(IS!N4-IS!M4)/IS!M4</f>
        <v>6.3045181993980667E-2</v>
      </c>
      <c r="O5" s="43">
        <f>(IS!O4-IS!N4)/IS!N4</f>
        <v>0.15861957650261313</v>
      </c>
      <c r="P5" s="43">
        <f>(IS!P4-IS!O4)/IS!O4</f>
        <v>-2.0410775805267602E-2</v>
      </c>
      <c r="Q5" s="43">
        <f>(IS!Q4-IS!P4)/IS!P4</f>
        <v>5.5120803769784871E-2</v>
      </c>
      <c r="R5" s="43">
        <f>(IS!R4-IS!Q4)/IS!Q4</f>
        <v>0.33259384733074704</v>
      </c>
      <c r="S5" s="43">
        <f>(IS!S4-IS!R4)/IS!R4</f>
        <v>7.7041252866870566E-2</v>
      </c>
      <c r="T5" s="43">
        <f>(IS!T4-IS!S4)/IS!S4</f>
        <v>-2.7918781725888325E-2</v>
      </c>
      <c r="U5" s="43">
        <f>(IS!U4-IS!T4)/IS!T4</f>
        <v>2.0887728459530026E-2</v>
      </c>
      <c r="V5" s="43">
        <f>(IS!V4-IS!U4)/IS!U4</f>
        <v>6.4350383631713554E-2</v>
      </c>
    </row>
    <row r="6" spans="2:22" x14ac:dyDescent="0.55000000000000004">
      <c r="B6" s="10" t="s">
        <v>181</v>
      </c>
      <c r="D6" s="43">
        <f>(IS!D6-IS!C6)/IS!C6</f>
        <v>0.45659163987138268</v>
      </c>
      <c r="E6" s="43">
        <f>(IS!E6-IS!D6)/IS!D6</f>
        <v>0.61846946284032367</v>
      </c>
      <c r="F6" s="43">
        <f>(IS!F6-IS!E6)/IS!E6</f>
        <v>0.30499355914222948</v>
      </c>
      <c r="G6" s="43">
        <f>(IS!G6-IS!F6)/IS!F6</f>
        <v>0.4913482754616188</v>
      </c>
      <c r="H6" s="43">
        <f>(IS!H6-IS!G6)/IS!G6</f>
        <v>0.70604267248092178</v>
      </c>
      <c r="I6" s="43">
        <f>(IS!I6-IS!H6)/IS!H6</f>
        <v>0.56698160573280409</v>
      </c>
      <c r="J6" s="43">
        <f>(IS!J6-IS!I6)/IS!I6</f>
        <v>-6.3470332935248078E-2</v>
      </c>
      <c r="K6" s="43">
        <f>(IS!K6-IS!J6)/IS!J6</f>
        <v>9.693020651903464E-2</v>
      </c>
      <c r="L6" s="43">
        <f>(IS!L6-IS!K6)/IS!K6</f>
        <v>0.32733175496547906</v>
      </c>
      <c r="M6" s="43">
        <f>(IS!M6-IS!L6)/IS!L6</f>
        <v>-0.10000427231751863</v>
      </c>
      <c r="N6" s="43">
        <f>(IS!N6-IS!M6)/IS!M6</f>
        <v>4.6556614409646008E-2</v>
      </c>
      <c r="O6" s="43">
        <f>(IS!O6-IS!N6)/IS!N6</f>
        <v>0.15482049304878315</v>
      </c>
      <c r="P6" s="43">
        <f>(IS!P6-IS!O6)/IS!O6</f>
        <v>-3.3847543671874258E-2</v>
      </c>
      <c r="Q6" s="43">
        <f>(IS!Q6-IS!P6)/IS!P6</f>
        <v>6.6712740873241805E-2</v>
      </c>
      <c r="R6" s="43">
        <f>(IS!R6-IS!Q6)/IS!Q6</f>
        <v>0.45619116582186831</v>
      </c>
      <c r="S6" s="43">
        <f>(IS!S6-IS!R6)/IS!R6</f>
        <v>0.11884634510193924</v>
      </c>
      <c r="T6" s="43">
        <f>(IS!T6-IS!S6)/IS!S6</f>
        <v>-1.1695906432748537E-2</v>
      </c>
      <c r="U6" s="43">
        <f>(IS!U6-IS!T6)/IS!T6</f>
        <v>7.1005917159763315E-2</v>
      </c>
      <c r="V6" s="43">
        <f>(IS!V6-IS!U6)/IS!U6</f>
        <v>7.845856353591156E-2</v>
      </c>
    </row>
    <row r="7" spans="2:22" x14ac:dyDescent="0.55000000000000004">
      <c r="B7" s="10" t="s">
        <v>179</v>
      </c>
      <c r="D7" s="43">
        <f>(IS!D10-IS!C10)/IS!C10</f>
        <v>0.79739094985731762</v>
      </c>
      <c r="E7" s="43">
        <f>(IS!E10-IS!D10)/IS!D10</f>
        <v>0.88863687911090961</v>
      </c>
      <c r="F7" s="43">
        <f>(IS!F10-IS!E10)/IS!E10</f>
        <v>0.40987150234177977</v>
      </c>
      <c r="G7" s="43">
        <f>(IS!G10-IS!F10)/IS!F10</f>
        <v>0.56601362862010229</v>
      </c>
      <c r="H7" s="43">
        <f>(IS!H10-IS!G10)/IS!G10</f>
        <v>0.83791134076692941</v>
      </c>
      <c r="I7" s="43">
        <f>(IS!I10-IS!H10)/IS!H10</f>
        <v>0.63483279076649901</v>
      </c>
      <c r="J7" s="43">
        <f>(IS!J10-IS!I10)/IS!I10</f>
        <v>-0.11299578211835408</v>
      </c>
      <c r="K7" s="43">
        <f>(IS!K10-IS!J10)/IS!J10</f>
        <v>7.151166350333675E-2</v>
      </c>
      <c r="L7" s="43">
        <f>(IS!L10-IS!K10)/IS!K10</f>
        <v>0.35668437994019397</v>
      </c>
      <c r="M7" s="43">
        <f>(IS!M10-IS!L10)/IS!L10</f>
        <v>-0.15732135336234737</v>
      </c>
      <c r="N7" s="43">
        <f>(IS!N10-IS!M10)/IS!M10</f>
        <v>2.1991203518592569E-2</v>
      </c>
      <c r="O7" s="43">
        <f>(IS!O10-IS!N10)/IS!N10</f>
        <v>0.15574465310380795</v>
      </c>
      <c r="P7" s="43">
        <f>(IS!P10-IS!O10)/IS!O10</f>
        <v>-9.828203898558488E-2</v>
      </c>
      <c r="Q7" s="43">
        <f>(IS!Q10-IS!P10)/IS!P10</f>
        <v>3.6884091975598485E-2</v>
      </c>
      <c r="R7" s="43">
        <f>(IS!R10-IS!Q10)/IS!Q10</f>
        <v>0.64357048032826425</v>
      </c>
      <c r="S7" s="43">
        <f>(IS!S10-IS!R10)/IS!R10</f>
        <v>9.5925616572891975E-2</v>
      </c>
      <c r="T7" s="43">
        <f>(IS!T10-IS!S10)/IS!S10</f>
        <v>-4.5226130653266375E-2</v>
      </c>
      <c r="U7" s="43">
        <f>(IS!U10-IS!T10)/IS!T10</f>
        <v>8.0701754385964941E-2</v>
      </c>
      <c r="V7" s="43">
        <f>(IS!V10-IS!U10)/IS!U10</f>
        <v>7.9951298701298773E-2</v>
      </c>
    </row>
    <row r="8" spans="2:22" x14ac:dyDescent="0.55000000000000004">
      <c r="B8" s="10" t="s">
        <v>180</v>
      </c>
      <c r="D8" s="43">
        <f>(IS!D14-IS!C14)/IS!C14</f>
        <v>0.75766716943187518</v>
      </c>
      <c r="E8" s="43">
        <f>(IS!E14-IS!D14)/IS!D14</f>
        <v>0.75028604118993125</v>
      </c>
      <c r="F8" s="43">
        <f>(IS!F14-IS!E14)/IS!E14</f>
        <v>0.34580813858473602</v>
      </c>
      <c r="G8" s="43">
        <f>(IS!G14-IS!F14)/IS!F14</f>
        <v>0.70163934426229524</v>
      </c>
      <c r="H8" s="43">
        <f>(IS!H14-IS!G14)/IS!G14</f>
        <v>0.84985370727181908</v>
      </c>
      <c r="I8" s="43">
        <f>(IS!I14-IS!H14)/IS!H14</f>
        <v>0.60994522027621312</v>
      </c>
      <c r="J8" s="43">
        <f>(IS!J14-IS!I14)/IS!I14</f>
        <v>-0.1125248604222078</v>
      </c>
      <c r="K8" s="43">
        <f>(IS!K14-IS!J14)/IS!J14</f>
        <v>6.6771066771066742E-2</v>
      </c>
      <c r="L8" s="43">
        <f>(IS!L14-IS!K14)/IS!K14</f>
        <v>0.3514047076689446</v>
      </c>
      <c r="M8" s="43">
        <f>(IS!M14-IS!L14)/IS!L14</f>
        <v>-0.14434206090571977</v>
      </c>
      <c r="N8" s="43">
        <f>(IS!N14-IS!M14)/IS!M14</f>
        <v>5.8309803664062021E-2</v>
      </c>
      <c r="O8" s="43">
        <f>(IS!O14-IS!N14)/IS!N14</f>
        <v>0.23122582780087278</v>
      </c>
      <c r="P8" s="43">
        <f>(IS!P14-IS!O14)/IS!O14</f>
        <v>-7.1811325191916797E-2</v>
      </c>
      <c r="Q8" s="43">
        <f>(IS!Q14-IS!P14)/IS!P14</f>
        <v>3.9000289561314759E-2</v>
      </c>
      <c r="R8" s="43">
        <f>(IS!R14-IS!Q14)/IS!Q14</f>
        <v>0.64916131055024284</v>
      </c>
      <c r="S8" s="43">
        <f>(IS!S14-IS!R14)/IS!R14</f>
        <v>5.6189269117025695E-2</v>
      </c>
      <c r="T8" s="43">
        <f>(IS!T14-IS!S14)/IS!S14</f>
        <v>-0.03</v>
      </c>
      <c r="U8" s="43">
        <f>(IS!U14-IS!T14)/IS!T14</f>
        <v>-3.4020618556701E-2</v>
      </c>
      <c r="V8" s="43">
        <f>(IS!V14-IS!U14)/IS!U14</f>
        <v>0.1954108858057631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B2:V39"/>
  <sheetViews>
    <sheetView zoomScaleNormal="100" workbookViewId="0">
      <pane ySplit="3" topLeftCell="A13" activePane="bottomLeft" state="frozen"/>
      <selection pane="bottomLeft"/>
    </sheetView>
  </sheetViews>
  <sheetFormatPr defaultColWidth="9.1015625" defaultRowHeight="13.8" outlineLevelCol="1" x14ac:dyDescent="0.55000000000000004"/>
  <cols>
    <col min="1" max="1" width="4.1015625" style="10" customWidth="1"/>
    <col min="2" max="2" width="36.47265625" style="10" customWidth="1"/>
    <col min="3" max="10" width="8.68359375" style="10" hidden="1" customWidth="1" outlineLevel="1"/>
    <col min="11" max="11" width="8.68359375" style="10" customWidth="1" collapsed="1"/>
    <col min="12" max="18" width="8.68359375" style="10" customWidth="1"/>
    <col min="19" max="21" width="9.1015625" style="10"/>
    <col min="22" max="22" width="10.5234375" style="10" customWidth="1"/>
    <col min="23" max="16384" width="9.1015625" style="10"/>
  </cols>
  <sheetData>
    <row r="2" spans="2:22" ht="14.1" x14ac:dyDescent="0.55000000000000004">
      <c r="B2" s="15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22" ht="14.1" x14ac:dyDescent="0.55000000000000004">
      <c r="B3" s="11"/>
      <c r="C3" s="12" t="s">
        <v>10</v>
      </c>
      <c r="D3" s="12" t="s">
        <v>9</v>
      </c>
      <c r="E3" s="12" t="s">
        <v>8</v>
      </c>
      <c r="F3" s="12" t="s">
        <v>7</v>
      </c>
      <c r="G3" s="12" t="s">
        <v>6</v>
      </c>
      <c r="H3" s="12" t="s">
        <v>5</v>
      </c>
      <c r="I3" s="12" t="s">
        <v>4</v>
      </c>
      <c r="J3" s="12" t="s">
        <v>3</v>
      </c>
      <c r="K3" s="12" t="s">
        <v>2</v>
      </c>
      <c r="L3" s="12" t="s">
        <v>1</v>
      </c>
      <c r="M3" s="12" t="s">
        <v>186</v>
      </c>
      <c r="N3" s="12" t="s">
        <v>187</v>
      </c>
      <c r="O3" s="12" t="s">
        <v>189</v>
      </c>
      <c r="P3" s="12" t="s">
        <v>191</v>
      </c>
      <c r="Q3" s="12" t="s">
        <v>205</v>
      </c>
      <c r="R3" s="12" t="s">
        <v>211</v>
      </c>
      <c r="S3" s="12" t="s">
        <v>336</v>
      </c>
      <c r="T3" s="12" t="s">
        <v>338</v>
      </c>
      <c r="U3" s="12" t="s">
        <v>344</v>
      </c>
      <c r="V3" s="12" t="s">
        <v>348</v>
      </c>
    </row>
    <row r="4" spans="2:22" x14ac:dyDescent="0.55000000000000004">
      <c r="B4" s="11" t="s">
        <v>23</v>
      </c>
      <c r="C4" s="13">
        <v>17.204999999999998</v>
      </c>
      <c r="D4" s="13">
        <v>25.347000000000001</v>
      </c>
      <c r="E4" s="13">
        <v>39.572000000000003</v>
      </c>
      <c r="F4" s="13">
        <v>47.500999999999998</v>
      </c>
      <c r="G4" s="13">
        <v>75.183000000000007</v>
      </c>
      <c r="H4" s="13">
        <v>116.371</v>
      </c>
      <c r="I4" s="13">
        <v>176.06399999999999</v>
      </c>
      <c r="J4" s="13">
        <v>207</v>
      </c>
      <c r="K4" s="13">
        <v>231.839</v>
      </c>
      <c r="L4" s="13">
        <v>290.47899999999998</v>
      </c>
      <c r="M4" s="13">
        <v>321.68599999999998</v>
      </c>
      <c r="N4" s="13">
        <v>375.31900000000002</v>
      </c>
      <c r="O4" s="13">
        <v>365.72500000000002</v>
      </c>
      <c r="P4" s="13">
        <v>338.51600000000002</v>
      </c>
      <c r="Q4" s="13">
        <v>323.88799999999998</v>
      </c>
      <c r="R4" s="14">
        <v>351.00200000000001</v>
      </c>
      <c r="S4" s="14">
        <v>352.755</v>
      </c>
      <c r="T4" s="14">
        <v>353</v>
      </c>
      <c r="U4" s="10">
        <v>365</v>
      </c>
      <c r="V4" s="10">
        <v>359.24099999999999</v>
      </c>
    </row>
    <row r="5" spans="2:22" x14ac:dyDescent="0.55000000000000004">
      <c r="B5" s="11" t="s">
        <v>24</v>
      </c>
      <c r="C5" s="13">
        <v>14.509</v>
      </c>
      <c r="D5" s="13">
        <v>21.956</v>
      </c>
      <c r="E5" s="13">
        <v>32.311</v>
      </c>
      <c r="F5" s="13">
        <v>31.555</v>
      </c>
      <c r="G5" s="13">
        <v>41.677999999999997</v>
      </c>
      <c r="H5" s="13">
        <v>44.988</v>
      </c>
      <c r="I5" s="13">
        <v>57.652999999999999</v>
      </c>
      <c r="J5" s="13">
        <v>73.286000000000001</v>
      </c>
      <c r="K5" s="13">
        <v>68.531000000000006</v>
      </c>
      <c r="L5" s="13">
        <v>89.378</v>
      </c>
      <c r="M5" s="13">
        <v>106.869</v>
      </c>
      <c r="N5" s="13">
        <v>128.64500000000001</v>
      </c>
      <c r="O5" s="13">
        <v>131.339</v>
      </c>
      <c r="P5" s="13">
        <v>162.81899999999999</v>
      </c>
      <c r="Q5" s="13">
        <v>143.71299999999999</v>
      </c>
      <c r="R5" s="14">
        <v>134.83600000000001</v>
      </c>
      <c r="S5" s="14">
        <v>135.405</v>
      </c>
      <c r="T5" s="14">
        <v>144</v>
      </c>
      <c r="U5" s="10">
        <v>153</v>
      </c>
      <c r="V5" s="10">
        <v>147.95699999999999</v>
      </c>
    </row>
    <row r="6" spans="2:22" x14ac:dyDescent="0.55000000000000004">
      <c r="B6" s="11" t="s">
        <v>25</v>
      </c>
      <c r="C6" s="13">
        <v>6.3920000000000003</v>
      </c>
      <c r="D6" s="13">
        <v>9.3520000000000003</v>
      </c>
      <c r="E6" s="13">
        <v>11.875</v>
      </c>
      <c r="F6" s="13">
        <v>5.2629999999999999</v>
      </c>
      <c r="G6" s="13">
        <v>11.260999999999999</v>
      </c>
      <c r="H6" s="13">
        <v>9.8149999999999995</v>
      </c>
      <c r="I6" s="13">
        <v>10.746</v>
      </c>
      <c r="J6" s="13">
        <v>14.259</v>
      </c>
      <c r="K6" s="13">
        <v>13.843999999999999</v>
      </c>
      <c r="L6" s="13">
        <v>21.12</v>
      </c>
      <c r="M6" s="13">
        <v>20.484000000000002</v>
      </c>
      <c r="N6" s="13">
        <v>20.289000000000001</v>
      </c>
      <c r="O6" s="13">
        <v>25.913</v>
      </c>
      <c r="P6" s="13">
        <v>48.844000000000001</v>
      </c>
      <c r="Q6" s="13">
        <v>38.015999999999998</v>
      </c>
      <c r="R6" s="14">
        <v>34.94</v>
      </c>
      <c r="S6" s="14">
        <v>23.646000000000001</v>
      </c>
      <c r="T6" s="14">
        <v>30</v>
      </c>
      <c r="U6" s="10">
        <v>30</v>
      </c>
      <c r="V6" s="10">
        <v>35.933999999999997</v>
      </c>
    </row>
    <row r="7" spans="2:22" x14ac:dyDescent="0.55000000000000004">
      <c r="B7" s="11" t="s">
        <v>26</v>
      </c>
      <c r="C7" s="13">
        <v>3.718</v>
      </c>
      <c r="D7" s="13">
        <v>6.0339999999999998</v>
      </c>
      <c r="E7" s="13">
        <v>10.236000000000001</v>
      </c>
      <c r="F7" s="13">
        <v>18.201000000000001</v>
      </c>
      <c r="G7" s="13">
        <v>14.359</v>
      </c>
      <c r="H7" s="13">
        <v>16.137</v>
      </c>
      <c r="I7" s="13">
        <v>18.382999999999999</v>
      </c>
      <c r="J7" s="13">
        <v>26.286999999999999</v>
      </c>
      <c r="K7" s="13">
        <v>11.233000000000001</v>
      </c>
      <c r="L7" s="13">
        <v>20.481000000000002</v>
      </c>
      <c r="M7" s="13">
        <v>46.670999999999999</v>
      </c>
      <c r="N7" s="13">
        <v>53.892000000000003</v>
      </c>
      <c r="O7" s="13">
        <v>40.387999999999998</v>
      </c>
      <c r="P7" s="13">
        <v>51.713000000000001</v>
      </c>
      <c r="Q7" s="13">
        <v>52.927</v>
      </c>
      <c r="R7" s="14">
        <v>27.699000000000002</v>
      </c>
      <c r="S7" s="14">
        <v>24.658000000000001</v>
      </c>
      <c r="T7" s="14">
        <v>32</v>
      </c>
      <c r="U7" s="10">
        <v>35</v>
      </c>
      <c r="V7" s="10">
        <v>18.763000000000002</v>
      </c>
    </row>
    <row r="8" spans="2:22" x14ac:dyDescent="0.55000000000000004">
      <c r="B8" s="11" t="s">
        <v>27</v>
      </c>
      <c r="C8" s="13">
        <v>1.252</v>
      </c>
      <c r="D8" s="13">
        <v>1.637</v>
      </c>
      <c r="E8" s="13">
        <v>2.4220000000000002</v>
      </c>
      <c r="F8" s="13">
        <v>3.3610000000000002</v>
      </c>
      <c r="G8" s="13">
        <v>5.51</v>
      </c>
      <c r="H8" s="13">
        <v>5.3689999999999998</v>
      </c>
      <c r="I8" s="13">
        <v>10.93</v>
      </c>
      <c r="J8" s="13">
        <v>13.102</v>
      </c>
      <c r="K8" s="13">
        <v>17.46</v>
      </c>
      <c r="L8" s="13">
        <v>16.849</v>
      </c>
      <c r="M8" s="13">
        <v>15.754</v>
      </c>
      <c r="N8" s="13">
        <v>17.873999999999999</v>
      </c>
      <c r="O8" s="13">
        <v>23.186</v>
      </c>
      <c r="P8" s="13">
        <v>22.925999999999998</v>
      </c>
      <c r="Q8" s="13">
        <v>16.12</v>
      </c>
      <c r="R8" s="14">
        <v>26.277999999999999</v>
      </c>
      <c r="S8" s="14">
        <v>28.184000000000001</v>
      </c>
      <c r="T8" s="14">
        <v>30</v>
      </c>
      <c r="U8" s="10">
        <v>33</v>
      </c>
      <c r="V8" s="10">
        <v>39.777000000000001</v>
      </c>
    </row>
    <row r="9" spans="2:22" x14ac:dyDescent="0.55000000000000004">
      <c r="B9" s="11" t="s">
        <v>28</v>
      </c>
      <c r="C9" s="13">
        <v>0.27</v>
      </c>
      <c r="D9" s="13">
        <v>0.34599999999999997</v>
      </c>
      <c r="E9" s="13">
        <v>0.50900000000000001</v>
      </c>
      <c r="F9" s="13">
        <v>0.45500000000000002</v>
      </c>
      <c r="G9" s="13">
        <v>1.0509999999999999</v>
      </c>
      <c r="H9" s="13">
        <v>0.77600000000000002</v>
      </c>
      <c r="I9" s="13">
        <v>0.79100000000000004</v>
      </c>
      <c r="J9" s="13">
        <v>1.764</v>
      </c>
      <c r="K9" s="13">
        <v>2.1110000000000002</v>
      </c>
      <c r="L9" s="13">
        <v>2.3490000000000002</v>
      </c>
      <c r="M9" s="13">
        <v>2.1320000000000001</v>
      </c>
      <c r="N9" s="13">
        <v>4.8550000000000004</v>
      </c>
      <c r="O9" s="13">
        <v>3.956</v>
      </c>
      <c r="P9" s="13">
        <v>4.1059999999999999</v>
      </c>
      <c r="Q9" s="13">
        <v>4.0609999999999999</v>
      </c>
      <c r="R9" s="14">
        <v>6.58</v>
      </c>
      <c r="S9" s="14">
        <v>4.9459999999999997</v>
      </c>
      <c r="T9" s="14">
        <v>6</v>
      </c>
      <c r="U9" s="10">
        <v>7</v>
      </c>
      <c r="V9" s="10">
        <v>5.718</v>
      </c>
    </row>
    <row r="10" spans="2:22" x14ac:dyDescent="0.55000000000000004">
      <c r="B10" s="11" t="s">
        <v>29</v>
      </c>
      <c r="C10" s="13">
        <v>2.8769999999999998</v>
      </c>
      <c r="D10" s="13">
        <v>4.5869999999999997</v>
      </c>
      <c r="E10" s="13">
        <v>7.2690000000000001</v>
      </c>
      <c r="F10" s="13">
        <v>4.2750000000000004</v>
      </c>
      <c r="G10" s="13">
        <v>9.4969999999999999</v>
      </c>
      <c r="H10" s="13">
        <v>12.891</v>
      </c>
      <c r="I10" s="13">
        <v>16.803000000000001</v>
      </c>
      <c r="J10" s="13">
        <v>17.873999999999999</v>
      </c>
      <c r="K10" s="13">
        <v>23.882999999999999</v>
      </c>
      <c r="L10" s="13">
        <v>28.579000000000001</v>
      </c>
      <c r="M10" s="13">
        <v>21.827999999999999</v>
      </c>
      <c r="N10" s="13">
        <v>31.734999999999999</v>
      </c>
      <c r="O10" s="13">
        <v>37.896000000000001</v>
      </c>
      <c r="P10" s="13">
        <v>35.230000000000004</v>
      </c>
      <c r="Q10" s="13">
        <v>11.263999999999999</v>
      </c>
      <c r="R10" s="14">
        <v>14.111000000000001</v>
      </c>
      <c r="S10" s="14">
        <v>21.222999999999999</v>
      </c>
      <c r="T10" s="14">
        <v>15</v>
      </c>
      <c r="U10" s="10">
        <v>14</v>
      </c>
      <c r="V10" s="10">
        <v>0</v>
      </c>
    </row>
    <row r="11" spans="2:22" x14ac:dyDescent="0.55000000000000004">
      <c r="B11" s="11" t="s">
        <v>30</v>
      </c>
      <c r="C11" s="13">
        <v>0</v>
      </c>
      <c r="D11" s="13">
        <v>0</v>
      </c>
      <c r="E11" s="13">
        <v>0</v>
      </c>
      <c r="F11" s="13">
        <v>1.696</v>
      </c>
      <c r="G11" s="13">
        <v>4.4139999999999997</v>
      </c>
      <c r="H11" s="13">
        <v>6.3479999999999999</v>
      </c>
      <c r="I11" s="13">
        <v>7.7619999999999996</v>
      </c>
      <c r="J11" s="13">
        <v>7.5389999999999997</v>
      </c>
      <c r="K11" s="13">
        <v>9.7590000000000003</v>
      </c>
      <c r="L11" s="13">
        <v>13.494</v>
      </c>
      <c r="M11" s="13">
        <v>13.545</v>
      </c>
      <c r="N11" s="13">
        <v>17.798999999999999</v>
      </c>
      <c r="O11" s="13">
        <v>25.809000000000001</v>
      </c>
      <c r="P11" s="13">
        <v>22.878</v>
      </c>
      <c r="Q11" s="13">
        <v>21.324999999999999</v>
      </c>
      <c r="R11" s="14">
        <v>25.228000000000002</v>
      </c>
      <c r="S11" s="14">
        <v>33</v>
      </c>
      <c r="T11" s="14">
        <v>32</v>
      </c>
      <c r="U11" s="10">
        <v>33</v>
      </c>
      <c r="V11" s="10">
        <v>33.18</v>
      </c>
    </row>
    <row r="12" spans="2:22" x14ac:dyDescent="0.55000000000000004">
      <c r="B12" s="11" t="s">
        <v>32</v>
      </c>
      <c r="C12" s="13">
        <v>2.8769999999999998</v>
      </c>
      <c r="D12" s="13">
        <v>4.5869999999999997</v>
      </c>
      <c r="E12" s="13">
        <v>7.2690000000000001</v>
      </c>
      <c r="F12" s="13">
        <v>2.5790000000000002</v>
      </c>
      <c r="G12" s="13">
        <v>5.0830000000000002</v>
      </c>
      <c r="H12" s="13">
        <v>6.5430000000000001</v>
      </c>
      <c r="I12" s="13">
        <v>9.0410000000000004</v>
      </c>
      <c r="J12" s="13">
        <v>10.335000000000001</v>
      </c>
      <c r="K12" s="13">
        <v>14.124000000000001</v>
      </c>
      <c r="L12" s="13">
        <v>15.085000000000001</v>
      </c>
      <c r="M12" s="13">
        <v>8.2829999999999995</v>
      </c>
      <c r="N12" s="13">
        <v>13.936</v>
      </c>
      <c r="O12" s="13">
        <v>12.087</v>
      </c>
      <c r="P12" s="13"/>
      <c r="Q12" s="13">
        <v>0</v>
      </c>
      <c r="R12" s="14">
        <v>0</v>
      </c>
      <c r="S12" s="14">
        <v>0</v>
      </c>
      <c r="T12" s="14">
        <v>0</v>
      </c>
      <c r="U12" s="10">
        <v>0</v>
      </c>
      <c r="V12" s="10">
        <v>0</v>
      </c>
    </row>
    <row r="13" spans="2:22" x14ac:dyDescent="0.55000000000000004">
      <c r="B13" s="11" t="s">
        <v>33</v>
      </c>
      <c r="C13" s="13">
        <v>0.60699999999999998</v>
      </c>
      <c r="D13" s="13">
        <v>0.78200000000000003</v>
      </c>
      <c r="E13" s="13">
        <v>1.4470000000000001</v>
      </c>
      <c r="F13" s="13">
        <v>1.135</v>
      </c>
      <c r="G13" s="13">
        <v>1.6359999999999999</v>
      </c>
      <c r="H13" s="13">
        <v>2.0139999999999998</v>
      </c>
      <c r="I13" s="13">
        <v>2.5830000000000002</v>
      </c>
      <c r="J13" s="13">
        <v>3.4529999999999998</v>
      </c>
      <c r="K13" s="13">
        <v>4.3179999999999996</v>
      </c>
      <c r="L13" s="13">
        <v>5.5460000000000003</v>
      </c>
      <c r="M13" s="13">
        <v>0</v>
      </c>
      <c r="N13" s="13">
        <v>0</v>
      </c>
      <c r="O13" s="13">
        <v>0</v>
      </c>
      <c r="P13" s="13"/>
      <c r="Q13" s="13">
        <v>0</v>
      </c>
      <c r="R13" s="14">
        <v>0</v>
      </c>
      <c r="S13" s="14">
        <v>0</v>
      </c>
      <c r="T13" s="14">
        <v>0</v>
      </c>
      <c r="U13" s="10">
        <v>0</v>
      </c>
      <c r="V13" s="10">
        <v>0</v>
      </c>
    </row>
    <row r="14" spans="2:22" x14ac:dyDescent="0.55000000000000004">
      <c r="B14" s="11" t="s">
        <v>34</v>
      </c>
      <c r="C14" s="13">
        <v>2.27</v>
      </c>
      <c r="D14" s="13">
        <v>3.8050000000000002</v>
      </c>
      <c r="E14" s="13">
        <v>5.8220000000000001</v>
      </c>
      <c r="F14" s="13">
        <v>1.444</v>
      </c>
      <c r="G14" s="13">
        <v>3.4470000000000001</v>
      </c>
      <c r="H14" s="13">
        <v>4.5289999999999999</v>
      </c>
      <c r="I14" s="13">
        <v>6.4580000000000002</v>
      </c>
      <c r="J14" s="13">
        <v>6.8819999999999997</v>
      </c>
      <c r="K14" s="13">
        <v>9.8059999999999992</v>
      </c>
      <c r="L14" s="13">
        <v>9.5389999999999997</v>
      </c>
      <c r="M14" s="13">
        <v>0</v>
      </c>
      <c r="N14" s="13">
        <v>0</v>
      </c>
      <c r="O14" s="13">
        <v>0</v>
      </c>
      <c r="P14" s="13"/>
      <c r="Q14" s="13">
        <v>0</v>
      </c>
      <c r="R14" s="14">
        <v>0</v>
      </c>
      <c r="S14" s="14">
        <v>0</v>
      </c>
      <c r="T14" s="14">
        <v>0</v>
      </c>
      <c r="U14" s="10">
        <v>0</v>
      </c>
      <c r="V14" s="10">
        <v>14.585000000000001</v>
      </c>
    </row>
    <row r="15" spans="2:22" x14ac:dyDescent="0.55000000000000004">
      <c r="B15" s="11" t="s">
        <v>35</v>
      </c>
      <c r="C15" s="13">
        <v>0</v>
      </c>
      <c r="D15" s="13">
        <v>0</v>
      </c>
      <c r="E15" s="13">
        <v>2.379</v>
      </c>
      <c r="F15" s="13">
        <v>10.528</v>
      </c>
      <c r="G15" s="13">
        <v>25.390999999999998</v>
      </c>
      <c r="H15" s="13">
        <v>55.618000000000002</v>
      </c>
      <c r="I15" s="13">
        <v>92.122</v>
      </c>
      <c r="J15" s="13">
        <v>106.215</v>
      </c>
      <c r="K15" s="13">
        <v>130.16200000000001</v>
      </c>
      <c r="L15" s="13">
        <v>164.065</v>
      </c>
      <c r="M15" s="13">
        <v>170.43</v>
      </c>
      <c r="N15" s="13">
        <v>194.714</v>
      </c>
      <c r="O15" s="13">
        <v>170.79900000000001</v>
      </c>
      <c r="P15" s="13">
        <v>105.34099999999999</v>
      </c>
      <c r="Q15" s="13">
        <v>100.887</v>
      </c>
      <c r="R15" s="14">
        <v>127.877</v>
      </c>
      <c r="S15" s="14">
        <v>120.80500000000001</v>
      </c>
      <c r="T15" s="14">
        <v>101</v>
      </c>
      <c r="U15" s="10">
        <v>91</v>
      </c>
      <c r="V15" s="10">
        <v>77.722999999999999</v>
      </c>
    </row>
    <row r="16" spans="2:22" x14ac:dyDescent="0.55000000000000004">
      <c r="B16" s="11" t="s">
        <v>36</v>
      </c>
      <c r="C16" s="13">
        <v>1.2809999999999999</v>
      </c>
      <c r="D16" s="13">
        <v>1.8320000000000001</v>
      </c>
      <c r="E16" s="13">
        <v>2.4550000000000001</v>
      </c>
      <c r="F16" s="13">
        <v>2.9540000000000002</v>
      </c>
      <c r="G16" s="13">
        <v>4.7679999999999998</v>
      </c>
      <c r="H16" s="13">
        <v>7.7770000000000001</v>
      </c>
      <c r="I16" s="13">
        <v>15.452</v>
      </c>
      <c r="J16" s="13">
        <v>16.597000000000001</v>
      </c>
      <c r="K16" s="13">
        <v>20.623999999999999</v>
      </c>
      <c r="L16" s="13">
        <v>22.471</v>
      </c>
      <c r="M16" s="13">
        <v>27.01</v>
      </c>
      <c r="N16" s="13">
        <v>33.783000000000001</v>
      </c>
      <c r="O16" s="13">
        <v>41.304000000000002</v>
      </c>
      <c r="P16" s="13">
        <v>37.378</v>
      </c>
      <c r="Q16" s="13">
        <v>36.765999999999998</v>
      </c>
      <c r="R16" s="14">
        <v>39.44</v>
      </c>
      <c r="S16" s="14">
        <v>42.116999999999997</v>
      </c>
      <c r="T16" s="14">
        <v>44</v>
      </c>
      <c r="U16" s="10">
        <v>46</v>
      </c>
      <c r="V16" s="10">
        <v>49.834000000000003</v>
      </c>
    </row>
    <row r="17" spans="2:22" x14ac:dyDescent="0.55000000000000004">
      <c r="B17" s="11" t="s">
        <v>37</v>
      </c>
      <c r="C17" s="13">
        <v>3.7999999999999999E-2</v>
      </c>
      <c r="D17" s="13">
        <v>3.7999999999999999E-2</v>
      </c>
      <c r="E17" s="13">
        <v>0.20699999999999999</v>
      </c>
      <c r="F17" s="13">
        <v>0.20599999999999999</v>
      </c>
      <c r="G17" s="13">
        <v>0.74099999999999999</v>
      </c>
      <c r="H17" s="13">
        <v>0.89600000000000002</v>
      </c>
      <c r="I17" s="13">
        <v>1.135</v>
      </c>
      <c r="J17" s="13">
        <v>1.577</v>
      </c>
      <c r="K17" s="13">
        <v>4.6159999999999997</v>
      </c>
      <c r="L17" s="13">
        <v>5.1159999999999997</v>
      </c>
      <c r="M17" s="13">
        <v>5.4139999999999997</v>
      </c>
      <c r="N17" s="13">
        <v>5.7169999999999996</v>
      </c>
      <c r="O17" s="13">
        <v>0</v>
      </c>
      <c r="P17" s="13"/>
      <c r="Q17" s="13">
        <v>0</v>
      </c>
      <c r="R17" s="14">
        <v>0</v>
      </c>
      <c r="S17" s="14">
        <v>0</v>
      </c>
      <c r="T17" s="14">
        <v>0</v>
      </c>
      <c r="U17" s="10">
        <v>0</v>
      </c>
      <c r="V17" s="10">
        <v>0</v>
      </c>
    </row>
    <row r="18" spans="2:22" x14ac:dyDescent="0.55000000000000004">
      <c r="B18" s="11" t="s">
        <v>38</v>
      </c>
      <c r="C18" s="13">
        <v>0.13900000000000001</v>
      </c>
      <c r="D18" s="13">
        <v>0.29899999999999999</v>
      </c>
      <c r="E18" s="13">
        <v>0.28499999999999998</v>
      </c>
      <c r="F18" s="13">
        <v>0.247</v>
      </c>
      <c r="G18" s="13">
        <v>0.34200000000000003</v>
      </c>
      <c r="H18" s="13">
        <v>3.536</v>
      </c>
      <c r="I18" s="13">
        <v>4.2240000000000002</v>
      </c>
      <c r="J18" s="13">
        <v>4.1790000000000003</v>
      </c>
      <c r="K18" s="13">
        <v>4.1420000000000003</v>
      </c>
      <c r="L18" s="13">
        <v>3.8929999999999998</v>
      </c>
      <c r="M18" s="13">
        <v>3.206</v>
      </c>
      <c r="N18" s="13">
        <v>2.298</v>
      </c>
      <c r="O18" s="13">
        <v>0</v>
      </c>
      <c r="P18" s="13"/>
      <c r="Q18" s="13">
        <v>0</v>
      </c>
      <c r="R18" s="14">
        <v>0</v>
      </c>
      <c r="S18" s="14">
        <v>0</v>
      </c>
      <c r="T18" s="14">
        <v>0</v>
      </c>
      <c r="U18" s="10">
        <v>0</v>
      </c>
      <c r="V18" s="10">
        <v>0</v>
      </c>
    </row>
    <row r="19" spans="2:22" x14ac:dyDescent="0.55000000000000004">
      <c r="B19" s="11" t="s">
        <v>39</v>
      </c>
      <c r="C19" s="13">
        <v>1.238</v>
      </c>
      <c r="D19" s="13">
        <v>1.222</v>
      </c>
      <c r="E19" s="13">
        <v>1.9350000000000001</v>
      </c>
      <c r="F19" s="13">
        <v>2.0110000000000001</v>
      </c>
      <c r="G19" s="13">
        <v>2.2629999999999999</v>
      </c>
      <c r="H19" s="13">
        <v>3.556</v>
      </c>
      <c r="I19" s="13">
        <v>5.4779999999999998</v>
      </c>
      <c r="J19" s="13">
        <v>5.1459999999999999</v>
      </c>
      <c r="K19" s="13">
        <v>3.7639999999999998</v>
      </c>
      <c r="L19" s="13">
        <v>5.556</v>
      </c>
      <c r="M19" s="13">
        <v>8.7569999999999997</v>
      </c>
      <c r="N19" s="13">
        <v>10.162000000000001</v>
      </c>
      <c r="O19" s="13">
        <v>22.283000000000001</v>
      </c>
      <c r="P19" s="13">
        <v>32.978000000000002</v>
      </c>
      <c r="Q19" s="13">
        <v>42.521999999999998</v>
      </c>
      <c r="R19" s="14">
        <v>48.848999999999997</v>
      </c>
      <c r="S19" s="14">
        <v>54.427999999999997</v>
      </c>
      <c r="T19" s="14">
        <v>65</v>
      </c>
      <c r="U19" s="10">
        <v>75</v>
      </c>
      <c r="V19" s="10">
        <v>83.727000000000004</v>
      </c>
    </row>
    <row r="20" spans="2:22" x14ac:dyDescent="0.55000000000000004">
      <c r="B20" s="11" t="s">
        <v>40</v>
      </c>
      <c r="C20" s="13">
        <v>17.204999999999998</v>
      </c>
      <c r="D20" s="13">
        <v>25.347000000000001</v>
      </c>
      <c r="E20" s="13">
        <v>39.572000000000003</v>
      </c>
      <c r="F20" s="13">
        <v>47.500999999999998</v>
      </c>
      <c r="G20" s="13">
        <v>75.183000000000007</v>
      </c>
      <c r="H20" s="13">
        <v>116.371</v>
      </c>
      <c r="I20" s="13">
        <v>176.06399999999999</v>
      </c>
      <c r="J20" s="13">
        <v>207</v>
      </c>
      <c r="K20" s="13">
        <v>231.839</v>
      </c>
      <c r="L20" s="13">
        <v>290.47899999999998</v>
      </c>
      <c r="M20" s="13">
        <v>321.68599999999998</v>
      </c>
      <c r="N20" s="13">
        <v>375.31900000000002</v>
      </c>
      <c r="O20" s="13">
        <v>365.72500000000002</v>
      </c>
      <c r="P20" s="13">
        <v>338.51600000000002</v>
      </c>
      <c r="Q20" s="13">
        <v>323.88799999999998</v>
      </c>
      <c r="R20" s="14">
        <v>351</v>
      </c>
      <c r="S20" s="14">
        <v>352.755</v>
      </c>
      <c r="T20" s="14">
        <v>353</v>
      </c>
      <c r="U20" s="10">
        <v>365</v>
      </c>
      <c r="V20" s="10">
        <v>359.24099999999999</v>
      </c>
    </row>
    <row r="21" spans="2:22" x14ac:dyDescent="0.55000000000000004">
      <c r="B21" s="11" t="s">
        <v>41</v>
      </c>
      <c r="C21" s="13">
        <v>7.2210000000000001</v>
      </c>
      <c r="D21" s="13">
        <v>10.815</v>
      </c>
      <c r="E21" s="13">
        <v>18.542000000000002</v>
      </c>
      <c r="F21" s="13">
        <v>15.861000000000001</v>
      </c>
      <c r="G21" s="13">
        <v>27.391999999999999</v>
      </c>
      <c r="H21" s="13">
        <v>39.756</v>
      </c>
      <c r="I21" s="13">
        <v>57.853999999999999</v>
      </c>
      <c r="J21" s="13">
        <v>83.450999999999993</v>
      </c>
      <c r="K21" s="13">
        <v>120.292</v>
      </c>
      <c r="L21" s="13">
        <v>171.124</v>
      </c>
      <c r="M21" s="13">
        <v>193.43700000000001</v>
      </c>
      <c r="N21" s="13">
        <v>241.27199999999999</v>
      </c>
      <c r="O21" s="13">
        <v>258.57799999999997</v>
      </c>
      <c r="P21" s="13">
        <v>248.02799999999999</v>
      </c>
      <c r="Q21" s="13">
        <v>258.54899999999998</v>
      </c>
      <c r="R21" s="14">
        <v>287.91199999999998</v>
      </c>
      <c r="S21" s="14">
        <v>302.08300000000003</v>
      </c>
      <c r="T21" s="14">
        <v>290</v>
      </c>
      <c r="U21" s="10">
        <v>308</v>
      </c>
      <c r="V21" s="10">
        <v>285.50799999999998</v>
      </c>
    </row>
    <row r="22" spans="2:22" x14ac:dyDescent="0.55000000000000004">
      <c r="B22" s="11" t="s">
        <v>42</v>
      </c>
      <c r="C22" s="13">
        <v>6.4429999999999996</v>
      </c>
      <c r="D22" s="13">
        <v>9.2799999999999994</v>
      </c>
      <c r="E22" s="13">
        <v>14.092000000000001</v>
      </c>
      <c r="F22" s="13">
        <v>11.506</v>
      </c>
      <c r="G22" s="13">
        <v>20.722000000000001</v>
      </c>
      <c r="H22" s="13">
        <v>27.97</v>
      </c>
      <c r="I22" s="13">
        <v>38.542000000000002</v>
      </c>
      <c r="J22" s="13">
        <v>43.658000000000001</v>
      </c>
      <c r="K22" s="13">
        <v>63.448</v>
      </c>
      <c r="L22" s="13">
        <v>80.61</v>
      </c>
      <c r="M22" s="13">
        <v>79.006</v>
      </c>
      <c r="N22" s="13">
        <v>100.81399999999999</v>
      </c>
      <c r="O22" s="13">
        <v>116.866</v>
      </c>
      <c r="P22" s="13">
        <v>105.718</v>
      </c>
      <c r="Q22" s="13">
        <v>105.392</v>
      </c>
      <c r="R22" s="14">
        <v>125.48099999999999</v>
      </c>
      <c r="S22" s="14">
        <v>153.982</v>
      </c>
      <c r="T22" s="14">
        <v>145</v>
      </c>
      <c r="U22" s="10">
        <v>176</v>
      </c>
      <c r="V22" s="10">
        <v>165.631</v>
      </c>
    </row>
    <row r="23" spans="2:22" x14ac:dyDescent="0.55000000000000004">
      <c r="B23" s="11" t="s">
        <v>43</v>
      </c>
      <c r="C23" s="13">
        <v>3.39</v>
      </c>
      <c r="D23" s="13">
        <v>4.97</v>
      </c>
      <c r="E23" s="13">
        <v>5.52</v>
      </c>
      <c r="F23" s="13">
        <v>5.601</v>
      </c>
      <c r="G23" s="13">
        <v>12.015000000000001</v>
      </c>
      <c r="H23" s="13">
        <v>14.632</v>
      </c>
      <c r="I23" s="13">
        <v>21.175000000000001</v>
      </c>
      <c r="J23" s="13">
        <v>22.367000000000001</v>
      </c>
      <c r="K23" s="13">
        <v>30.196000000000002</v>
      </c>
      <c r="L23" s="13">
        <v>35.49</v>
      </c>
      <c r="M23" s="13">
        <v>37.293999999999997</v>
      </c>
      <c r="N23" s="13">
        <v>49.048999999999999</v>
      </c>
      <c r="O23" s="13">
        <v>55.887999999999998</v>
      </c>
      <c r="P23" s="13">
        <v>46.235999999999997</v>
      </c>
      <c r="Q23" s="13">
        <v>42.295999999999999</v>
      </c>
      <c r="R23" s="14">
        <v>54.762999999999998</v>
      </c>
      <c r="S23" s="14">
        <v>64.114999999999995</v>
      </c>
      <c r="T23" s="14">
        <v>63</v>
      </c>
      <c r="U23" s="10">
        <v>69</v>
      </c>
      <c r="V23" s="10">
        <v>69.86</v>
      </c>
    </row>
    <row r="24" spans="2:22" x14ac:dyDescent="0.55000000000000004">
      <c r="B24" s="11" t="s">
        <v>44</v>
      </c>
      <c r="C24" s="13">
        <v>3.0529999999999999</v>
      </c>
      <c r="D24" s="13">
        <v>4.3099999999999996</v>
      </c>
      <c r="E24" s="13">
        <v>8.5719999999999992</v>
      </c>
      <c r="F24" s="13">
        <v>5.9050000000000002</v>
      </c>
      <c r="G24" s="13">
        <v>8.7070000000000007</v>
      </c>
      <c r="H24" s="13">
        <v>13.337999999999999</v>
      </c>
      <c r="I24" s="13">
        <v>17.367000000000001</v>
      </c>
      <c r="J24" s="13">
        <v>21.291</v>
      </c>
      <c r="K24" s="13">
        <v>26.943999999999999</v>
      </c>
      <c r="L24" s="13">
        <v>34.121000000000002</v>
      </c>
      <c r="M24" s="13">
        <v>30.106999999999999</v>
      </c>
      <c r="N24" s="13">
        <v>33.292000000000002</v>
      </c>
      <c r="O24" s="13">
        <v>40.229999999999997</v>
      </c>
      <c r="P24" s="13">
        <v>43.241999999999997</v>
      </c>
      <c r="Q24" s="13">
        <v>42.683999999999997</v>
      </c>
      <c r="R24" s="14">
        <v>47.493000000000002</v>
      </c>
      <c r="S24" s="14">
        <v>60.844999999999999</v>
      </c>
      <c r="T24" s="14">
        <v>59</v>
      </c>
      <c r="U24" s="10">
        <v>78</v>
      </c>
      <c r="V24" s="10">
        <v>66.387</v>
      </c>
    </row>
    <row r="25" spans="2:22" x14ac:dyDescent="0.55000000000000004">
      <c r="B25" s="11" t="s">
        <v>45</v>
      </c>
      <c r="C25" s="13">
        <v>0</v>
      </c>
      <c r="D25" s="13">
        <v>0</v>
      </c>
      <c r="E25" s="13">
        <v>3.7189999999999999</v>
      </c>
      <c r="F25" s="13">
        <v>3.8519999999999999</v>
      </c>
      <c r="G25" s="13">
        <v>5.7229999999999999</v>
      </c>
      <c r="H25" s="13">
        <v>9.2469999999999999</v>
      </c>
      <c r="I25" s="13">
        <v>11.414</v>
      </c>
      <c r="J25" s="13">
        <v>13.856</v>
      </c>
      <c r="K25" s="13">
        <v>18.452999999999999</v>
      </c>
      <c r="L25" s="13">
        <v>25.181000000000001</v>
      </c>
      <c r="M25" s="13">
        <v>22.027000000000001</v>
      </c>
      <c r="N25" s="13">
        <v>25.744</v>
      </c>
      <c r="O25" s="13">
        <v>32.686999999999998</v>
      </c>
      <c r="P25" s="13">
        <v>37.72</v>
      </c>
      <c r="Q25" s="13">
        <v>0</v>
      </c>
      <c r="R25" s="14">
        <v>0</v>
      </c>
      <c r="S25" s="14">
        <v>0</v>
      </c>
      <c r="T25" s="14">
        <v>0</v>
      </c>
      <c r="U25" s="10">
        <v>0</v>
      </c>
      <c r="V25" s="10">
        <v>0</v>
      </c>
    </row>
    <row r="26" spans="2:22" x14ac:dyDescent="0.55000000000000004">
      <c r="B26" s="11" t="s">
        <v>46</v>
      </c>
      <c r="C26" s="13">
        <v>0</v>
      </c>
      <c r="D26" s="13">
        <v>0</v>
      </c>
      <c r="E26" s="13">
        <v>4.8529999999999998</v>
      </c>
      <c r="F26" s="13">
        <v>2.0529999999999999</v>
      </c>
      <c r="G26" s="13">
        <v>2.984</v>
      </c>
      <c r="H26" s="13">
        <v>4.0910000000000002</v>
      </c>
      <c r="I26" s="13">
        <v>5.9530000000000003</v>
      </c>
      <c r="J26" s="13">
        <v>7.4349999999999996</v>
      </c>
      <c r="K26" s="13">
        <v>8.4909999999999997</v>
      </c>
      <c r="L26" s="13">
        <v>8.94</v>
      </c>
      <c r="M26" s="13">
        <v>8.08</v>
      </c>
      <c r="N26" s="13">
        <v>7.548</v>
      </c>
      <c r="O26" s="13">
        <v>7.5430000000000001</v>
      </c>
      <c r="P26" s="13">
        <v>5.5220000000000002</v>
      </c>
      <c r="Q26" s="13">
        <v>6.6429999999999998</v>
      </c>
      <c r="R26" s="14">
        <v>7.6</v>
      </c>
      <c r="S26" s="14">
        <v>7.9119999999999999</v>
      </c>
      <c r="T26" s="14">
        <v>8</v>
      </c>
      <c r="U26" s="10">
        <v>8</v>
      </c>
      <c r="V26" s="10">
        <v>9.0549999999999997</v>
      </c>
    </row>
    <row r="27" spans="2:22" x14ac:dyDescent="0.55000000000000004">
      <c r="B27" s="11" t="s">
        <v>47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6.3079999999999998</v>
      </c>
      <c r="L27" s="13">
        <v>8.4990000000000006</v>
      </c>
      <c r="M27" s="13">
        <v>8.1050000000000004</v>
      </c>
      <c r="N27" s="13">
        <v>11.977</v>
      </c>
      <c r="O27" s="13">
        <v>11.964</v>
      </c>
      <c r="P27" s="13">
        <v>5.98</v>
      </c>
      <c r="Q27" s="13">
        <v>4.9960000000000004</v>
      </c>
      <c r="R27" s="14">
        <v>6</v>
      </c>
      <c r="S27" s="14">
        <v>9.9819999999999993</v>
      </c>
      <c r="T27" s="14">
        <v>6</v>
      </c>
      <c r="U27" s="10">
        <v>10</v>
      </c>
      <c r="V27" s="10">
        <v>7.9790000000000001</v>
      </c>
    </row>
    <row r="28" spans="2:22" x14ac:dyDescent="0.55000000000000004">
      <c r="B28" s="11" t="s">
        <v>48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2.5</v>
      </c>
      <c r="M28" s="13">
        <v>3.5</v>
      </c>
      <c r="N28" s="13">
        <v>6.4960000000000004</v>
      </c>
      <c r="O28" s="13">
        <v>8.7840000000000007</v>
      </c>
      <c r="P28" s="13">
        <v>10.26</v>
      </c>
      <c r="Q28" s="13">
        <v>8.7729999999999997</v>
      </c>
      <c r="R28" s="14">
        <v>9.6</v>
      </c>
      <c r="S28" s="14">
        <v>11.128</v>
      </c>
      <c r="T28" s="14">
        <v>10</v>
      </c>
      <c r="U28" s="10">
        <v>11</v>
      </c>
      <c r="V28" s="10">
        <v>12.35</v>
      </c>
    </row>
    <row r="29" spans="2:22" x14ac:dyDescent="0.55000000000000004">
      <c r="B29" s="11" t="s">
        <v>49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16.96</v>
      </c>
      <c r="K29" s="13">
        <v>28.986999999999998</v>
      </c>
      <c r="L29" s="13">
        <v>53.463000000000001</v>
      </c>
      <c r="M29" s="13">
        <v>75.427000000000007</v>
      </c>
      <c r="N29" s="13">
        <v>97.206999999999994</v>
      </c>
      <c r="O29" s="13">
        <v>93.734999999999999</v>
      </c>
      <c r="P29" s="13">
        <v>91.807000000000002</v>
      </c>
      <c r="Q29" s="13">
        <v>98.667000000000002</v>
      </c>
      <c r="R29" s="14">
        <v>109.10599999999999</v>
      </c>
      <c r="S29" s="14">
        <v>98.959000000000003</v>
      </c>
      <c r="T29" s="14">
        <v>95</v>
      </c>
      <c r="U29" s="10">
        <v>86</v>
      </c>
      <c r="V29" s="10">
        <v>78.328000000000003</v>
      </c>
    </row>
    <row r="30" spans="2:22" x14ac:dyDescent="0.55000000000000004">
      <c r="B30" s="11" t="s">
        <v>50</v>
      </c>
      <c r="C30" s="13">
        <v>0.77800000000000002</v>
      </c>
      <c r="D30" s="13">
        <v>1.5349999999999999</v>
      </c>
      <c r="E30" s="13">
        <v>4.45</v>
      </c>
      <c r="F30" s="13">
        <v>4.3550000000000004</v>
      </c>
      <c r="G30" s="13">
        <v>6.67</v>
      </c>
      <c r="H30" s="13">
        <v>11.786</v>
      </c>
      <c r="I30" s="13">
        <v>19.312000000000001</v>
      </c>
      <c r="J30" s="13">
        <v>22.832999999999998</v>
      </c>
      <c r="K30" s="13">
        <v>27.856999999999999</v>
      </c>
      <c r="L30" s="13">
        <v>37.051000000000002</v>
      </c>
      <c r="M30" s="13">
        <v>39</v>
      </c>
      <c r="N30" s="13">
        <f>SUM(N31:N32)</f>
        <v>43.250999999999998</v>
      </c>
      <c r="O30" s="13">
        <v>47.976999999999997</v>
      </c>
      <c r="P30" s="13">
        <v>50.503</v>
      </c>
      <c r="Q30" s="13">
        <v>54.49</v>
      </c>
      <c r="R30" s="14">
        <v>53.325000000000003</v>
      </c>
      <c r="S30" s="14">
        <v>49.142000000000003</v>
      </c>
      <c r="T30" s="14">
        <v>50</v>
      </c>
      <c r="U30" s="10">
        <v>46</v>
      </c>
      <c r="V30" s="10">
        <v>41.548999999999999</v>
      </c>
    </row>
    <row r="31" spans="2:22" x14ac:dyDescent="0.55000000000000004">
      <c r="B31" s="11" t="s">
        <v>51</v>
      </c>
      <c r="C31" s="13">
        <v>0</v>
      </c>
      <c r="D31" s="13">
        <v>0</v>
      </c>
      <c r="E31" s="13">
        <v>3.0289999999999999</v>
      </c>
      <c r="F31" s="13">
        <v>0.85299999999999998</v>
      </c>
      <c r="G31" s="13">
        <v>1.139</v>
      </c>
      <c r="H31" s="13">
        <v>1.6859999999999999</v>
      </c>
      <c r="I31" s="13">
        <v>2.6480000000000001</v>
      </c>
      <c r="J31" s="13">
        <v>2.625</v>
      </c>
      <c r="K31" s="13">
        <v>3.0310000000000001</v>
      </c>
      <c r="L31" s="13">
        <v>3.6240000000000001</v>
      </c>
      <c r="M31" s="13">
        <v>2.9</v>
      </c>
      <c r="N31" s="13">
        <v>2.8359999999999999</v>
      </c>
      <c r="O31" s="13">
        <v>2.7970000000000002</v>
      </c>
      <c r="P31" s="13"/>
      <c r="Q31" s="13">
        <v>0</v>
      </c>
      <c r="R31" s="14">
        <v>0</v>
      </c>
      <c r="S31" s="14">
        <v>0</v>
      </c>
      <c r="T31" s="14">
        <v>0</v>
      </c>
      <c r="U31" s="10">
        <v>0</v>
      </c>
      <c r="V31" s="10">
        <v>0</v>
      </c>
    </row>
    <row r="32" spans="2:22" x14ac:dyDescent="0.55000000000000004">
      <c r="B32" s="11" t="s">
        <v>52</v>
      </c>
      <c r="C32" s="13">
        <v>0</v>
      </c>
      <c r="D32" s="13">
        <v>0</v>
      </c>
      <c r="E32" s="13">
        <v>1.421</v>
      </c>
      <c r="F32" s="13">
        <v>3.5019999999999998</v>
      </c>
      <c r="G32" s="13">
        <v>5.5309999999999997</v>
      </c>
      <c r="H32" s="13">
        <v>10.1</v>
      </c>
      <c r="I32" s="13">
        <v>16.664000000000001</v>
      </c>
      <c r="J32" s="13">
        <v>20.207999999999998</v>
      </c>
      <c r="K32" s="13">
        <v>24.826000000000001</v>
      </c>
      <c r="L32" s="13">
        <v>33.427</v>
      </c>
      <c r="M32" s="13">
        <v>36.073999999999998</v>
      </c>
      <c r="N32" s="13">
        <v>40.414999999999999</v>
      </c>
      <c r="O32" s="13">
        <v>45.18</v>
      </c>
      <c r="P32" s="13"/>
      <c r="Q32" s="13">
        <v>0</v>
      </c>
      <c r="R32" s="14">
        <v>0</v>
      </c>
      <c r="S32" s="14">
        <v>0</v>
      </c>
      <c r="T32" s="14">
        <v>0</v>
      </c>
      <c r="U32" s="10">
        <v>0</v>
      </c>
      <c r="V32" s="10">
        <v>0</v>
      </c>
    </row>
    <row r="33" spans="2:22" x14ac:dyDescent="0.55000000000000004">
      <c r="B33" s="11" t="s">
        <v>53</v>
      </c>
      <c r="C33" s="13">
        <v>9.984</v>
      </c>
      <c r="D33" s="13">
        <v>14.532</v>
      </c>
      <c r="E33" s="13">
        <v>21.03</v>
      </c>
      <c r="F33" s="13">
        <v>31.64</v>
      </c>
      <c r="G33" s="13">
        <v>47.790999999999997</v>
      </c>
      <c r="H33" s="13">
        <v>76.614999999999995</v>
      </c>
      <c r="I33" s="13">
        <v>118.21</v>
      </c>
      <c r="J33" s="13">
        <v>123.54900000000001</v>
      </c>
      <c r="K33" s="13">
        <v>111.547</v>
      </c>
      <c r="L33" s="13">
        <v>119.355</v>
      </c>
      <c r="M33" s="13">
        <v>128.249</v>
      </c>
      <c r="N33" s="13">
        <v>134.047</v>
      </c>
      <c r="O33" s="13">
        <v>107.14700000000001</v>
      </c>
      <c r="P33" s="13">
        <v>90.488</v>
      </c>
      <c r="Q33" s="13">
        <v>65.338999999999999</v>
      </c>
      <c r="R33" s="14">
        <v>63.09</v>
      </c>
      <c r="S33" s="14">
        <v>50.671999999999997</v>
      </c>
      <c r="T33" s="14">
        <v>62</v>
      </c>
      <c r="U33" s="10">
        <v>57</v>
      </c>
      <c r="V33" s="10">
        <v>73.733000000000004</v>
      </c>
    </row>
    <row r="34" spans="2:22" x14ac:dyDescent="0.55000000000000004">
      <c r="B34" s="11" t="s">
        <v>54</v>
      </c>
      <c r="C34" s="13">
        <v>4.3550000000000004</v>
      </c>
      <c r="D34" s="13">
        <v>5.3680000000000003</v>
      </c>
      <c r="E34" s="13">
        <v>7.1769999999999996</v>
      </c>
      <c r="F34" s="13">
        <v>8.2100000000000009</v>
      </c>
      <c r="G34" s="13">
        <v>10.667999999999999</v>
      </c>
      <c r="H34" s="13">
        <v>13.331</v>
      </c>
      <c r="I34" s="13">
        <v>16.422000000000001</v>
      </c>
      <c r="J34" s="13">
        <v>19.763999999999999</v>
      </c>
      <c r="K34" s="13">
        <v>23.312999999999999</v>
      </c>
      <c r="L34" s="13">
        <v>27.416</v>
      </c>
      <c r="M34" s="13">
        <v>31.251000000000001</v>
      </c>
      <c r="N34" s="13">
        <v>35.866999999999997</v>
      </c>
      <c r="O34" s="13">
        <v>40.201000000000001</v>
      </c>
      <c r="P34" s="13">
        <v>45.173999999999999</v>
      </c>
      <c r="Q34" s="13">
        <v>50.779000000000003</v>
      </c>
      <c r="R34" s="14">
        <v>0</v>
      </c>
      <c r="S34" s="14">
        <v>0</v>
      </c>
      <c r="T34" s="14">
        <v>74</v>
      </c>
      <c r="U34" s="10">
        <v>83</v>
      </c>
      <c r="V34" s="10">
        <v>93.567999999999998</v>
      </c>
    </row>
    <row r="35" spans="2:22" x14ac:dyDescent="0.55000000000000004">
      <c r="B35" s="11" t="s">
        <v>55</v>
      </c>
      <c r="C35" s="13">
        <v>5.6070000000000002</v>
      </c>
      <c r="D35" s="13">
        <v>9.1010000000000009</v>
      </c>
      <c r="E35" s="13">
        <v>13.845000000000001</v>
      </c>
      <c r="F35" s="13">
        <v>23.353000000000002</v>
      </c>
      <c r="G35" s="13">
        <v>37.168999999999997</v>
      </c>
      <c r="H35" s="13">
        <v>62.841000000000001</v>
      </c>
      <c r="I35" s="13">
        <v>101.289</v>
      </c>
      <c r="J35" s="13">
        <v>104.256</v>
      </c>
      <c r="K35" s="13">
        <v>87.152000000000001</v>
      </c>
      <c r="L35" s="13">
        <v>92.284000000000006</v>
      </c>
      <c r="M35" s="13">
        <v>96.364000000000004</v>
      </c>
      <c r="N35" s="13">
        <v>98.33</v>
      </c>
      <c r="O35" s="13">
        <v>70.400000000000006</v>
      </c>
      <c r="P35" s="13">
        <v>45.898000000000003</v>
      </c>
      <c r="Q35" s="13">
        <v>14.965999999999999</v>
      </c>
      <c r="R35" s="14">
        <v>5.5620000000000003</v>
      </c>
      <c r="S35" s="14">
        <v>-3</v>
      </c>
      <c r="T35" s="14">
        <v>0</v>
      </c>
      <c r="U35" s="10">
        <v>-19</v>
      </c>
      <c r="V35" s="10">
        <v>-14.263999999999999</v>
      </c>
    </row>
    <row r="36" spans="2:22" x14ac:dyDescent="0.55000000000000004">
      <c r="B36" s="11" t="s">
        <v>56</v>
      </c>
      <c r="C36" s="13">
        <v>2.1999999999999999E-2</v>
      </c>
      <c r="D36" s="13">
        <v>6.3E-2</v>
      </c>
      <c r="E36" s="13">
        <v>8.0000000000000002E-3</v>
      </c>
      <c r="F36" s="13">
        <v>7.6999999999999999E-2</v>
      </c>
      <c r="G36" s="13">
        <v>-4.5999999999999999E-2</v>
      </c>
      <c r="H36" s="13">
        <v>0.443</v>
      </c>
      <c r="I36" s="13">
        <v>0.499</v>
      </c>
      <c r="J36" s="13">
        <v>-0.47099999999999997</v>
      </c>
      <c r="K36" s="13">
        <v>1.0820000000000001</v>
      </c>
      <c r="L36" s="13">
        <v>-0.34499999999999997</v>
      </c>
      <c r="M36" s="13">
        <v>0.63400000000000001</v>
      </c>
      <c r="N36" s="13">
        <v>-0.15</v>
      </c>
      <c r="O36" s="13">
        <v>-3.4540000000000002</v>
      </c>
      <c r="P36" s="13">
        <v>-0.58399999999999996</v>
      </c>
      <c r="Q36" s="13">
        <v>-0.40600000000000003</v>
      </c>
      <c r="R36" s="14">
        <v>0</v>
      </c>
      <c r="S36" s="14">
        <v>0</v>
      </c>
      <c r="T36" s="14">
        <v>-11</v>
      </c>
      <c r="U36" s="10">
        <v>-7</v>
      </c>
      <c r="V36" s="10">
        <v>-5.5709999999999997</v>
      </c>
    </row>
    <row r="37" spans="2:22" ht="14.4" x14ac:dyDescent="0.55000000000000004">
      <c r="M37" s="13"/>
      <c r="N37" s="13"/>
      <c r="S37" s="14"/>
      <c r="V37"/>
    </row>
    <row r="38" spans="2:22" x14ac:dyDescent="0.55000000000000004">
      <c r="B38" s="11" t="s">
        <v>212</v>
      </c>
      <c r="C38" s="19">
        <f>C8+C11+C9-C23-C24</f>
        <v>-4.9210000000000003</v>
      </c>
      <c r="D38" s="19">
        <f t="shared" ref="D38:L38" si="0">D8+D11+D9-D23-D24</f>
        <v>-7.2969999999999988</v>
      </c>
      <c r="E38" s="19">
        <f t="shared" si="0"/>
        <v>-11.160999999999998</v>
      </c>
      <c r="F38" s="19">
        <f t="shared" si="0"/>
        <v>-5.9939999999999998</v>
      </c>
      <c r="G38" s="19">
        <f t="shared" si="0"/>
        <v>-9.7470000000000017</v>
      </c>
      <c r="H38" s="19">
        <f t="shared" si="0"/>
        <v>-15.477</v>
      </c>
      <c r="I38" s="19">
        <f t="shared" si="0"/>
        <v>-19.059000000000001</v>
      </c>
      <c r="J38" s="19">
        <f t="shared" si="0"/>
        <v>-21.253000000000004</v>
      </c>
      <c r="K38" s="19">
        <f t="shared" si="0"/>
        <v>-27.81</v>
      </c>
      <c r="L38" s="19">
        <f t="shared" si="0"/>
        <v>-36.919000000000004</v>
      </c>
      <c r="M38" s="19">
        <f t="shared" ref="M38:V38" si="1">M8+M11+M9-M23-M24</f>
        <v>-35.97</v>
      </c>
      <c r="N38" s="19">
        <f t="shared" si="1"/>
        <v>-41.812999999999995</v>
      </c>
      <c r="O38" s="19">
        <f t="shared" si="1"/>
        <v>-43.166999999999987</v>
      </c>
      <c r="P38" s="19">
        <f t="shared" si="1"/>
        <v>-39.567999999999991</v>
      </c>
      <c r="Q38" s="19">
        <f t="shared" si="1"/>
        <v>-43.473999999999997</v>
      </c>
      <c r="R38" s="19">
        <f t="shared" si="1"/>
        <v>-44.17</v>
      </c>
      <c r="S38" s="19">
        <f t="shared" si="1"/>
        <v>-58.83</v>
      </c>
      <c r="T38" s="19">
        <f t="shared" si="1"/>
        <v>-54</v>
      </c>
      <c r="U38" s="19">
        <f t="shared" si="1"/>
        <v>-74</v>
      </c>
      <c r="V38" s="19">
        <f t="shared" si="1"/>
        <v>-57.572000000000003</v>
      </c>
    </row>
    <row r="39" spans="2:22" x14ac:dyDescent="0.55000000000000004">
      <c r="M39" s="13"/>
      <c r="N39" s="13"/>
      <c r="R39" s="13"/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B2:V49"/>
  <sheetViews>
    <sheetView zoomScaleNormal="100" workbookViewId="0">
      <pane ySplit="3" topLeftCell="A4" activePane="bottomLeft" state="frozen"/>
      <selection pane="bottomLeft"/>
    </sheetView>
  </sheetViews>
  <sheetFormatPr defaultColWidth="9.1015625" defaultRowHeight="13.8" x14ac:dyDescent="0.55000000000000004"/>
  <cols>
    <col min="1" max="1" width="3.578125" style="10" customWidth="1"/>
    <col min="2" max="2" width="44.83984375" style="10" customWidth="1"/>
    <col min="3" max="18" width="8.68359375" style="10" customWidth="1"/>
    <col min="19" max="16384" width="9.1015625" style="10"/>
  </cols>
  <sheetData>
    <row r="2" spans="2:22" ht="14.1" x14ac:dyDescent="0.55000000000000004">
      <c r="B2" s="15" t="s">
        <v>177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22" ht="14.1" x14ac:dyDescent="0.55000000000000004">
      <c r="B3" s="11"/>
      <c r="C3" s="12" t="s">
        <v>10</v>
      </c>
      <c r="D3" s="12" t="s">
        <v>9</v>
      </c>
      <c r="E3" s="12" t="s">
        <v>8</v>
      </c>
      <c r="F3" s="12" t="s">
        <v>7</v>
      </c>
      <c r="G3" s="12" t="s">
        <v>6</v>
      </c>
      <c r="H3" s="12" t="s">
        <v>5</v>
      </c>
      <c r="I3" s="12" t="s">
        <v>4</v>
      </c>
      <c r="J3" s="12" t="s">
        <v>3</v>
      </c>
      <c r="K3" s="12" t="s">
        <v>2</v>
      </c>
      <c r="L3" s="12" t="s">
        <v>1</v>
      </c>
      <c r="M3" s="12" t="s">
        <v>186</v>
      </c>
      <c r="N3" s="12" t="s">
        <v>187</v>
      </c>
      <c r="O3" s="12" t="s">
        <v>189</v>
      </c>
      <c r="P3" s="12" t="s">
        <v>191</v>
      </c>
      <c r="Q3" s="12" t="s">
        <v>205</v>
      </c>
      <c r="R3" s="12" t="s">
        <v>211</v>
      </c>
      <c r="S3" s="12" t="s">
        <v>336</v>
      </c>
      <c r="T3" s="12" t="s">
        <v>338</v>
      </c>
      <c r="U3" s="12" t="s">
        <v>344</v>
      </c>
      <c r="V3" s="12" t="s">
        <v>348</v>
      </c>
    </row>
    <row r="4" spans="2:22" x14ac:dyDescent="0.55000000000000004">
      <c r="B4" s="11" t="s">
        <v>176</v>
      </c>
      <c r="C4" s="13">
        <f>BS!C4</f>
        <v>17.204999999999998</v>
      </c>
      <c r="D4" s="13">
        <f>BS!D4</f>
        <v>25.347000000000001</v>
      </c>
      <c r="E4" s="13">
        <f>BS!E4</f>
        <v>39.572000000000003</v>
      </c>
      <c r="F4" s="13">
        <f>BS!F4</f>
        <v>47.500999999999998</v>
      </c>
      <c r="G4" s="13">
        <f>BS!G4</f>
        <v>75.183000000000007</v>
      </c>
      <c r="H4" s="13">
        <f>BS!H4</f>
        <v>116.371</v>
      </c>
      <c r="I4" s="13">
        <f>BS!I4</f>
        <v>176.06399999999999</v>
      </c>
      <c r="J4" s="13">
        <f>BS!J4</f>
        <v>207</v>
      </c>
      <c r="K4" s="13">
        <f>BS!K4</f>
        <v>231.839</v>
      </c>
      <c r="L4" s="13">
        <f>BS!L4</f>
        <v>290.47899999999998</v>
      </c>
      <c r="M4" s="13">
        <f>BS!M4</f>
        <v>321.68599999999998</v>
      </c>
      <c r="N4" s="13">
        <f>BS!N4</f>
        <v>375.31900000000002</v>
      </c>
      <c r="O4" s="13">
        <f>BS!O4</f>
        <v>365.72500000000002</v>
      </c>
      <c r="P4" s="13">
        <f>BS!P4</f>
        <v>338.51600000000002</v>
      </c>
      <c r="Q4" s="13">
        <f>BS!Q4</f>
        <v>323.88799999999998</v>
      </c>
      <c r="R4" s="13">
        <f>BS!R4</f>
        <v>351.00200000000001</v>
      </c>
      <c r="S4" s="13">
        <f>BS!S4</f>
        <v>352.755</v>
      </c>
      <c r="T4" s="13">
        <f>BS!T4</f>
        <v>353</v>
      </c>
      <c r="U4" s="13">
        <f>BS!U4</f>
        <v>365</v>
      </c>
      <c r="V4" s="13">
        <f>BS!V4</f>
        <v>359.24099999999999</v>
      </c>
    </row>
    <row r="5" spans="2:22" x14ac:dyDescent="0.55000000000000004">
      <c r="B5" s="11" t="s">
        <v>24</v>
      </c>
      <c r="C5" s="43">
        <f>BS!C5/BS!C$4</f>
        <v>0.8433013658820111</v>
      </c>
      <c r="D5" s="43">
        <f>BS!D5/BS!D$4</f>
        <v>0.8662169092989308</v>
      </c>
      <c r="E5" s="43">
        <f>BS!E5/BS!E$4</f>
        <v>0.81651167492166177</v>
      </c>
      <c r="F5" s="43">
        <f>BS!F5/BS!F$4</f>
        <v>0.66430180417254381</v>
      </c>
      <c r="G5" s="43">
        <f>BS!G5/BS!G$4</f>
        <v>0.55435404280222911</v>
      </c>
      <c r="H5" s="43">
        <f>BS!H5/BS!H$4</f>
        <v>0.38659116102809121</v>
      </c>
      <c r="I5" s="43">
        <f>BS!I5/BS!I$4</f>
        <v>0.32745478916757542</v>
      </c>
      <c r="J5" s="43">
        <f>BS!J5/BS!J$4</f>
        <v>0.35403864734299517</v>
      </c>
      <c r="K5" s="43">
        <f>BS!K5/BS!K$4</f>
        <v>0.29559737576507839</v>
      </c>
      <c r="L5" s="43">
        <f>BS!L5/BS!L$4</f>
        <v>0.30769177806313025</v>
      </c>
      <c r="M5" s="43">
        <f>BS!M5/BS!M$4</f>
        <v>0.33221526581822025</v>
      </c>
      <c r="N5" s="43">
        <f>BS!N5/BS!N$4</f>
        <v>0.34276175733176312</v>
      </c>
      <c r="O5" s="43">
        <f>BS!O5/BS!O$4</f>
        <v>0.35911955704422721</v>
      </c>
      <c r="P5" s="43">
        <f>BS!P5/BS!P$4</f>
        <v>0.48097874251143219</v>
      </c>
      <c r="Q5" s="43">
        <f>BS!Q5/BS!Q$4</f>
        <v>0.4437120239094996</v>
      </c>
      <c r="R5" s="43">
        <f>BS!R5/BS!R$4</f>
        <v>0.38414595928228334</v>
      </c>
      <c r="S5" s="43">
        <f>BS!S5/BS!S$4</f>
        <v>0.38384998086490624</v>
      </c>
      <c r="T5" s="43">
        <f>BS!T5/BS!T$4</f>
        <v>0.40793201133144474</v>
      </c>
      <c r="U5" s="43">
        <f>BS!U5/BS!U$4</f>
        <v>0.41917808219178082</v>
      </c>
      <c r="V5" s="43">
        <f>BS!V5/BS!V$4</f>
        <v>0.41186000484354512</v>
      </c>
    </row>
    <row r="6" spans="2:22" x14ac:dyDescent="0.55000000000000004">
      <c r="B6" s="11" t="s">
        <v>25</v>
      </c>
      <c r="C6" s="43">
        <f>BS!C6/BS!$C$4</f>
        <v>0.37151990700377802</v>
      </c>
      <c r="D6" s="43">
        <f>BS!D6/BS!D$4</f>
        <v>0.36895885114609223</v>
      </c>
      <c r="E6" s="43">
        <f>BS!E6/BS!E$4</f>
        <v>0.30008591933690487</v>
      </c>
      <c r="F6" s="43">
        <f>BS!F6/BS!F$4</f>
        <v>0.11079766741752806</v>
      </c>
      <c r="G6" s="43">
        <f>BS!G6/BS!G$4</f>
        <v>0.1497812005373555</v>
      </c>
      <c r="H6" s="43">
        <f>BS!H6/BS!H$4</f>
        <v>8.4342318962628143E-2</v>
      </c>
      <c r="I6" s="43">
        <f>BS!I6/BS!I$4</f>
        <v>6.1034623773173396E-2</v>
      </c>
      <c r="J6" s="43">
        <f>BS!J6/BS!J$4</f>
        <v>6.888405797101449E-2</v>
      </c>
      <c r="K6" s="43">
        <f>BS!K6/BS!K$4</f>
        <v>5.9713853148089836E-2</v>
      </c>
      <c r="L6" s="43">
        <f>BS!L6/BS!L$4</f>
        <v>7.2707493484899091E-2</v>
      </c>
      <c r="M6" s="43">
        <f>BS!M6/BS!M$4</f>
        <v>6.3677001796783206E-2</v>
      </c>
      <c r="N6" s="43">
        <f>BS!N6/BS!N$4</f>
        <v>5.4058014648872027E-2</v>
      </c>
      <c r="O6" s="43">
        <f>BS!O6/BS!O$4</f>
        <v>7.085378358055916E-2</v>
      </c>
      <c r="P6" s="43">
        <f>BS!P6/BS!P$4</f>
        <v>0.1442886008342294</v>
      </c>
      <c r="Q6" s="43">
        <f>BS!Q6/BS!Q$4</f>
        <v>0.11737390702959048</v>
      </c>
      <c r="R6" s="43">
        <f>BS!R6/BS!R$4</f>
        <v>9.9543592344203152E-2</v>
      </c>
      <c r="S6" s="43">
        <f>BS!S6/BS!S$4</f>
        <v>6.7032359569673003E-2</v>
      </c>
      <c r="T6" s="43">
        <f>BS!T6/BS!T$4</f>
        <v>8.4985835694050993E-2</v>
      </c>
      <c r="U6" s="43">
        <f>BS!U6/BS!U$4</f>
        <v>8.2191780821917804E-2</v>
      </c>
      <c r="V6" s="43">
        <f>BS!V6/BS!V$4</f>
        <v>0.10002755810166435</v>
      </c>
    </row>
    <row r="7" spans="2:22" x14ac:dyDescent="0.55000000000000004">
      <c r="B7" s="11" t="s">
        <v>26</v>
      </c>
      <c r="C7" s="43">
        <f>BS!C7/BS!$C$4</f>
        <v>0.21609997093868064</v>
      </c>
      <c r="D7" s="43">
        <f>BS!D7/BS!D$4</f>
        <v>0.23805578569455949</v>
      </c>
      <c r="E7" s="43">
        <f>BS!E7/BS!E$4</f>
        <v>0.25866774487011018</v>
      </c>
      <c r="F7" s="43">
        <f>BS!F7/BS!F$4</f>
        <v>0.38317088061303978</v>
      </c>
      <c r="G7" s="43">
        <f>BS!G7/BS!G$4</f>
        <v>0.19098732426213372</v>
      </c>
      <c r="H7" s="43">
        <f>BS!H7/BS!H$4</f>
        <v>0.13866856862964141</v>
      </c>
      <c r="I7" s="43">
        <f>BS!I7/BS!I$4</f>
        <v>0.10441089603780443</v>
      </c>
      <c r="J7" s="43">
        <f>BS!J7/BS!J$4</f>
        <v>0.1269903381642512</v>
      </c>
      <c r="K7" s="43">
        <f>BS!K7/BS!K$4</f>
        <v>4.8451727276256372E-2</v>
      </c>
      <c r="L7" s="43">
        <f>BS!L7/BS!L$4</f>
        <v>7.0507678696222459E-2</v>
      </c>
      <c r="M7" s="43">
        <f>BS!M7/BS!M$4</f>
        <v>0.14508247172708791</v>
      </c>
      <c r="N7" s="43">
        <f>BS!N7/BS!N$4</f>
        <v>0.14358985289846771</v>
      </c>
      <c r="O7" s="43">
        <f>BS!O7/BS!O$4</f>
        <v>0.11043270216692869</v>
      </c>
      <c r="P7" s="43">
        <f>BS!P7/BS!P$4</f>
        <v>0.15276382800222146</v>
      </c>
      <c r="Q7" s="43">
        <f>BS!Q7/BS!Q$4</f>
        <v>0.1634114261720101</v>
      </c>
      <c r="R7" s="43">
        <f>BS!R7/BS!R$4</f>
        <v>7.8914080261650935E-2</v>
      </c>
      <c r="S7" s="43">
        <f>BS!S7/BS!S$4</f>
        <v>6.9901206219614181E-2</v>
      </c>
      <c r="T7" s="43">
        <f>BS!T7/BS!T$4</f>
        <v>9.0651558073654395E-2</v>
      </c>
      <c r="U7" s="43">
        <f>BS!U7/BS!U$4</f>
        <v>9.5890410958904104E-2</v>
      </c>
      <c r="V7" s="43">
        <f>BS!V7/BS!V$4</f>
        <v>5.2229561770510614E-2</v>
      </c>
    </row>
    <row r="8" spans="2:22" x14ac:dyDescent="0.55000000000000004">
      <c r="B8" s="11" t="s">
        <v>27</v>
      </c>
      <c r="C8" s="43">
        <f>BS!C8/BS!$C$4</f>
        <v>7.2769543737285683E-2</v>
      </c>
      <c r="D8" s="43">
        <f>BS!D8/BS!D$4</f>
        <v>6.4583579910837574E-2</v>
      </c>
      <c r="E8" s="43">
        <f>BS!E8/BS!E$4</f>
        <v>6.1204892348124935E-2</v>
      </c>
      <c r="F8" s="43">
        <f>BS!F8/BS!F$4</f>
        <v>7.0756405128313091E-2</v>
      </c>
      <c r="G8" s="43">
        <f>BS!G8/BS!G$4</f>
        <v>7.3287844326509977E-2</v>
      </c>
      <c r="H8" s="43">
        <f>BS!H8/BS!H$4</f>
        <v>4.6136924147768772E-2</v>
      </c>
      <c r="I8" s="43">
        <f>BS!I8/BS!I$4</f>
        <v>6.2079698291530351E-2</v>
      </c>
      <c r="J8" s="43">
        <f>BS!J8/BS!J$4</f>
        <v>6.3294685990338162E-2</v>
      </c>
      <c r="K8" s="43">
        <f>BS!K8/BS!K$4</f>
        <v>7.5310883846117352E-2</v>
      </c>
      <c r="L8" s="43">
        <f>BS!L8/BS!L$4</f>
        <v>5.8004193074198136E-2</v>
      </c>
      <c r="M8" s="43">
        <f>BS!M8/BS!M$4</f>
        <v>4.8973222334823402E-2</v>
      </c>
      <c r="N8" s="43">
        <f>BS!N8/BS!N$4</f>
        <v>4.7623488285964737E-2</v>
      </c>
      <c r="O8" s="43">
        <f>BS!O8/BS!O$4</f>
        <v>6.3397361405427566E-2</v>
      </c>
      <c r="P8" s="43">
        <f>BS!P8/BS!P$4</f>
        <v>6.7725011520873457E-2</v>
      </c>
      <c r="Q8" s="43">
        <f>BS!Q8/BS!Q$4</f>
        <v>4.9770290964777954E-2</v>
      </c>
      <c r="R8" s="43">
        <f>BS!R8/BS!R$4</f>
        <v>7.4865670281081015E-2</v>
      </c>
      <c r="S8" s="43">
        <f>BS!S8/BS!S$4</f>
        <v>7.9896812235120698E-2</v>
      </c>
      <c r="T8" s="43">
        <f>BS!T8/BS!T$4</f>
        <v>8.4985835694050993E-2</v>
      </c>
      <c r="U8" s="43">
        <f>BS!U8/BS!U$4</f>
        <v>9.0410958904109592E-2</v>
      </c>
      <c r="V8" s="43">
        <f>BS!V8/BS!V$4</f>
        <v>0.11072511211136814</v>
      </c>
    </row>
    <row r="9" spans="2:22" x14ac:dyDescent="0.55000000000000004">
      <c r="B9" s="11" t="s">
        <v>113</v>
      </c>
      <c r="C9" s="43">
        <f>BS!C9/BS!$C$4</f>
        <v>1.5693112467306019E-2</v>
      </c>
      <c r="D9" s="43">
        <f>BS!D9/BS!D$4</f>
        <v>1.3650530634789125E-2</v>
      </c>
      <c r="E9" s="43">
        <f>BS!E9/BS!E$4</f>
        <v>1.2862630142525018E-2</v>
      </c>
      <c r="F9" s="43">
        <f>BS!F9/BS!F$4</f>
        <v>9.578745710616619E-3</v>
      </c>
      <c r="G9" s="43">
        <f>BS!G9/BS!G$4</f>
        <v>1.3979224026708164E-2</v>
      </c>
      <c r="H9" s="43">
        <f>BS!H9/BS!H$4</f>
        <v>6.6683280198674933E-3</v>
      </c>
      <c r="I9" s="43">
        <f>BS!I9/BS!I$4</f>
        <v>4.4926844783715015E-3</v>
      </c>
      <c r="J9" s="43">
        <f>BS!J9/BS!J$4</f>
        <v>8.5217391304347832E-3</v>
      </c>
      <c r="K9" s="43">
        <f>BS!K9/BS!K$4</f>
        <v>9.1054568040752435E-3</v>
      </c>
      <c r="L9" s="43">
        <f>BS!L9/BS!L$4</f>
        <v>8.0866430964028398E-3</v>
      </c>
      <c r="M9" s="43">
        <f>BS!M9/BS!M$4</f>
        <v>6.6275809329594702E-3</v>
      </c>
      <c r="N9" s="43">
        <f>BS!N9/BS!N$4</f>
        <v>1.2935662729571378E-2</v>
      </c>
      <c r="O9" s="43">
        <f>BS!O9/BS!O$4</f>
        <v>1.0816870599494155E-2</v>
      </c>
      <c r="P9" s="43">
        <f>BS!P9/BS!P$4</f>
        <v>1.2129411903720945E-2</v>
      </c>
      <c r="Q9" s="43">
        <f>BS!Q9/BS!Q$4</f>
        <v>1.2538284839203676E-2</v>
      </c>
      <c r="R9" s="43">
        <f>BS!R9/BS!R$4</f>
        <v>1.8746331929732594E-2</v>
      </c>
      <c r="S9" s="43">
        <f>BS!S9/BS!S$4</f>
        <v>1.4021062777281683E-2</v>
      </c>
      <c r="T9" s="43">
        <f>BS!T9/BS!T$4</f>
        <v>1.69971671388102E-2</v>
      </c>
      <c r="U9" s="43">
        <f>BS!U9/BS!U$4</f>
        <v>1.9178082191780823E-2</v>
      </c>
      <c r="V9" s="43">
        <f>BS!V9/BS!V$4</f>
        <v>1.5916891446132262E-2</v>
      </c>
    </row>
    <row r="10" spans="2:22" x14ac:dyDescent="0.55000000000000004">
      <c r="B10" s="11" t="s">
        <v>29</v>
      </c>
      <c r="C10" s="43">
        <f>BS!C10/BS!$C$4</f>
        <v>0.16721883173496077</v>
      </c>
      <c r="D10" s="43">
        <f>BS!D10/BS!D$4</f>
        <v>0.18096816191265236</v>
      </c>
      <c r="E10" s="43">
        <f>BS!E10/BS!E$4</f>
        <v>0.18369048822399675</v>
      </c>
      <c r="F10" s="43">
        <f>BS!F10/BS!F$4</f>
        <v>8.9998105303046264E-2</v>
      </c>
      <c r="G10" s="43">
        <f>BS!G10/BS!G$4</f>
        <v>0.12631844964952182</v>
      </c>
      <c r="H10" s="43">
        <f>BS!H10/BS!H$4</f>
        <v>0.11077502126818538</v>
      </c>
      <c r="I10" s="43">
        <f>BS!I10/BS!I$4</f>
        <v>9.543688658669576E-2</v>
      </c>
      <c r="J10" s="43">
        <f>BS!J10/BS!J$4</f>
        <v>8.6347826086956514E-2</v>
      </c>
      <c r="K10" s="43">
        <f>BS!K10/BS!K$4</f>
        <v>0.10301545469053955</v>
      </c>
      <c r="L10" s="43">
        <f>BS!L10/BS!L$4</f>
        <v>9.8385769711407722E-2</v>
      </c>
      <c r="M10" s="43">
        <f>BS!M10/BS!M$4</f>
        <v>6.7854989026566281E-2</v>
      </c>
      <c r="N10" s="43">
        <f>BS!N10/BS!N$4</f>
        <v>8.4554738768887264E-2</v>
      </c>
      <c r="O10" s="43">
        <f>BS!O10/BS!O$4</f>
        <v>0.10361883929181762</v>
      </c>
      <c r="P10" s="43">
        <f>BS!P10/BS!P$4</f>
        <v>0.10407189025038699</v>
      </c>
      <c r="Q10" s="43">
        <f>BS!Q10/BS!Q$4</f>
        <v>3.4777453934693475E-2</v>
      </c>
      <c r="R10" s="43">
        <f>BS!R10/BS!R$4</f>
        <v>4.0202050130768489E-2</v>
      </c>
      <c r="S10" s="43">
        <f>BS!S10/BS!S$4</f>
        <v>6.016356961630593E-2</v>
      </c>
      <c r="T10" s="43">
        <f>BS!T10/BS!T$4</f>
        <v>4.2492917847025496E-2</v>
      </c>
      <c r="U10" s="43">
        <f>BS!U10/BS!U$4</f>
        <v>3.8356164383561646E-2</v>
      </c>
      <c r="V10" s="43">
        <f>BS!V10/BS!V$4</f>
        <v>0</v>
      </c>
    </row>
    <row r="11" spans="2:22" x14ac:dyDescent="0.55000000000000004">
      <c r="B11" s="11" t="s">
        <v>30</v>
      </c>
      <c r="C11" s="43">
        <f>BS!C11/BS!$C$4</f>
        <v>0</v>
      </c>
      <c r="D11" s="43">
        <f>BS!D11/BS!D$4</f>
        <v>0</v>
      </c>
      <c r="E11" s="43">
        <f>BS!E11/BS!E$4</f>
        <v>0</v>
      </c>
      <c r="F11" s="43">
        <f>BS!F11/BS!F$4</f>
        <v>3.5704511483968762E-2</v>
      </c>
      <c r="G11" s="43">
        <f>BS!G11/BS!G$4</f>
        <v>5.8710080736336663E-2</v>
      </c>
      <c r="H11" s="43">
        <f>BS!H11/BS!H$4</f>
        <v>5.4549673028503665E-2</v>
      </c>
      <c r="I11" s="43">
        <f>BS!I11/BS!I$4</f>
        <v>4.4086241366775719E-2</v>
      </c>
      <c r="J11" s="43">
        <f>BS!J11/BS!J$4</f>
        <v>3.6420289855072466E-2</v>
      </c>
      <c r="K11" s="43">
        <f>BS!K11/BS!K$4</f>
        <v>4.2093866864505114E-2</v>
      </c>
      <c r="L11" s="43">
        <f>BS!L11/BS!L$4</f>
        <v>4.64543047862324E-2</v>
      </c>
      <c r="M11" s="43">
        <f>BS!M11/BS!M$4</f>
        <v>4.2106277550157611E-2</v>
      </c>
      <c r="N11" s="43">
        <f>BS!N11/BS!N$4</f>
        <v>4.7423658274694323E-2</v>
      </c>
      <c r="O11" s="43">
        <f>BS!O11/BS!O$4</f>
        <v>7.0569416911613919E-2</v>
      </c>
      <c r="P11" s="43">
        <f>BS!P11/BS!P$4</f>
        <v>6.7583216155218659E-2</v>
      </c>
      <c r="Q11" s="43">
        <f>BS!Q11/BS!Q$4</f>
        <v>6.5840660969223933E-2</v>
      </c>
      <c r="R11" s="43">
        <f>BS!R11/BS!R$4</f>
        <v>7.1874234334847104E-2</v>
      </c>
      <c r="S11" s="43">
        <f>BS!S11/BS!S$4</f>
        <v>9.3549347280690559E-2</v>
      </c>
      <c r="T11" s="43">
        <f>BS!T11/BS!T$4</f>
        <v>9.0651558073654395E-2</v>
      </c>
      <c r="U11" s="43">
        <f>BS!U11/BS!U$4</f>
        <v>9.0410958904109592E-2</v>
      </c>
      <c r="V11" s="43">
        <f>BS!V11/BS!V$4</f>
        <v>9.2361395275038213E-2</v>
      </c>
    </row>
    <row r="12" spans="2:22" x14ac:dyDescent="0.55000000000000004">
      <c r="B12" s="11" t="s">
        <v>32</v>
      </c>
      <c r="C12" s="43">
        <f>BS!C12/BS!$C$4</f>
        <v>0.16721883173496077</v>
      </c>
      <c r="D12" s="43">
        <f>BS!D12/BS!D$4</f>
        <v>0.18096816191265236</v>
      </c>
      <c r="E12" s="43">
        <f>BS!E12/BS!E$4</f>
        <v>0.18369048822399675</v>
      </c>
      <c r="F12" s="43">
        <f>BS!F12/BS!F$4</f>
        <v>5.4293593819077501E-2</v>
      </c>
      <c r="G12" s="43">
        <f>BS!G12/BS!G$4</f>
        <v>6.7608368913185155E-2</v>
      </c>
      <c r="H12" s="43">
        <f>BS!H12/BS!H$4</f>
        <v>5.6225348239681713E-2</v>
      </c>
      <c r="I12" s="43">
        <f>BS!I12/BS!I$4</f>
        <v>5.1350645219920034E-2</v>
      </c>
      <c r="J12" s="43">
        <f>BS!J12/BS!J$4</f>
        <v>4.9927536231884062E-2</v>
      </c>
      <c r="K12" s="43">
        <f>BS!K12/BS!K$4</f>
        <v>6.0921587826034448E-2</v>
      </c>
      <c r="L12" s="43">
        <f>BS!L12/BS!L$4</f>
        <v>5.1931464925175322E-2</v>
      </c>
      <c r="M12" s="43">
        <f>BS!M12/BS!M$4</f>
        <v>2.5748711476408673E-2</v>
      </c>
      <c r="N12" s="43">
        <f>BS!N12/BS!N$4</f>
        <v>3.713108049419294E-2</v>
      </c>
      <c r="O12" s="43">
        <f>BS!O12/BS!O$4</f>
        <v>3.3049422380203704E-2</v>
      </c>
      <c r="P12" s="43">
        <f>BS!P12/BS!P$4</f>
        <v>0</v>
      </c>
      <c r="Q12" s="43">
        <f>BS!Q12/BS!Q$4</f>
        <v>0</v>
      </c>
      <c r="R12" s="43">
        <f>BS!R12/BS!R$4</f>
        <v>0</v>
      </c>
      <c r="S12" s="43">
        <f>BS!S12/BS!S$4</f>
        <v>0</v>
      </c>
      <c r="T12" s="43">
        <f>BS!T12/BS!T$4</f>
        <v>0</v>
      </c>
      <c r="U12" s="43">
        <f>BS!U12/BS!U$4</f>
        <v>0</v>
      </c>
      <c r="V12" s="43">
        <f>BS!V12/BS!V$4</f>
        <v>0</v>
      </c>
    </row>
    <row r="13" spans="2:22" x14ac:dyDescent="0.55000000000000004">
      <c r="B13" s="11" t="s">
        <v>33</v>
      </c>
      <c r="C13" s="43">
        <f>BS!C13/BS!$C$4</f>
        <v>3.5280441732054635E-2</v>
      </c>
      <c r="D13" s="43">
        <f>BS!D13/BS!D$4</f>
        <v>3.085177733065057E-2</v>
      </c>
      <c r="E13" s="43">
        <f>BS!E13/BS!E$4</f>
        <v>3.6566258970989585E-2</v>
      </c>
      <c r="F13" s="43">
        <f>BS!F13/BS!F$4</f>
        <v>2.3894233805604095E-2</v>
      </c>
      <c r="G13" s="43">
        <f>BS!G13/BS!G$4</f>
        <v>2.1760238351755046E-2</v>
      </c>
      <c r="H13" s="43">
        <f>BS!H13/BS!H$4</f>
        <v>1.7306717309295269E-2</v>
      </c>
      <c r="I13" s="43">
        <f>BS!I13/BS!I$4</f>
        <v>1.4670801526717559E-2</v>
      </c>
      <c r="J13" s="43">
        <f>BS!J13/BS!J$4</f>
        <v>1.6681159420289856E-2</v>
      </c>
      <c r="K13" s="43">
        <f>BS!K13/BS!K$4</f>
        <v>1.8624994069160062E-2</v>
      </c>
      <c r="L13" s="43">
        <f>BS!L13/BS!L$4</f>
        <v>1.9092602219093292E-2</v>
      </c>
      <c r="M13" s="43">
        <f>BS!M13/BS!M$4</f>
        <v>0</v>
      </c>
      <c r="N13" s="43">
        <f>BS!N13/BS!N$4</f>
        <v>0</v>
      </c>
      <c r="O13" s="43">
        <f>BS!O13/BS!O$4</f>
        <v>0</v>
      </c>
      <c r="P13" s="43">
        <f>BS!P13/BS!P$4</f>
        <v>0</v>
      </c>
      <c r="Q13" s="43">
        <f>BS!Q13/BS!Q$4</f>
        <v>0</v>
      </c>
      <c r="R13" s="43">
        <f>BS!R13/BS!R$4</f>
        <v>0</v>
      </c>
      <c r="S13" s="43">
        <f>BS!S13/BS!S$4</f>
        <v>0</v>
      </c>
      <c r="T13" s="43">
        <f>BS!T13/BS!T$4</f>
        <v>0</v>
      </c>
      <c r="U13" s="43">
        <f>BS!U13/BS!U$4</f>
        <v>0</v>
      </c>
      <c r="V13" s="43">
        <f>BS!V13/BS!V$4</f>
        <v>0</v>
      </c>
    </row>
    <row r="14" spans="2:22" x14ac:dyDescent="0.55000000000000004">
      <c r="B14" s="11" t="s">
        <v>34</v>
      </c>
      <c r="C14" s="43">
        <f>BS!C14/BS!$C$4</f>
        <v>0.13193839000290614</v>
      </c>
      <c r="D14" s="43">
        <f>BS!D14/BS!D$4</f>
        <v>0.15011638458200183</v>
      </c>
      <c r="E14" s="43">
        <f>BS!E14/BS!E$4</f>
        <v>0.14712422925300717</v>
      </c>
      <c r="F14" s="43">
        <f>BS!F14/BS!F$4</f>
        <v>3.03993600134734E-2</v>
      </c>
      <c r="G14" s="43">
        <f>BS!G14/BS!G$4</f>
        <v>4.5848130561430105E-2</v>
      </c>
      <c r="H14" s="43">
        <f>BS!H14/BS!H$4</f>
        <v>3.8918630930386437E-2</v>
      </c>
      <c r="I14" s="43">
        <f>BS!I14/BS!I$4</f>
        <v>3.6679843693202471E-2</v>
      </c>
      <c r="J14" s="43">
        <f>BS!J14/BS!J$4</f>
        <v>3.3246376811594203E-2</v>
      </c>
      <c r="K14" s="43">
        <f>BS!K14/BS!K$4</f>
        <v>4.2296593756874376E-2</v>
      </c>
      <c r="L14" s="43">
        <f>BS!L14/BS!L$4</f>
        <v>3.2838862706082023E-2</v>
      </c>
      <c r="M14" s="43">
        <f>BS!M14/BS!M$4</f>
        <v>0</v>
      </c>
      <c r="N14" s="43">
        <f>BS!N14/BS!N$4</f>
        <v>0</v>
      </c>
      <c r="O14" s="43">
        <f>BS!O14/BS!O$4</f>
        <v>0</v>
      </c>
      <c r="P14" s="43">
        <f>BS!P14/BS!P$4</f>
        <v>0</v>
      </c>
      <c r="Q14" s="43">
        <f>BS!Q14/BS!Q$4</f>
        <v>0</v>
      </c>
      <c r="R14" s="43">
        <f>BS!R14/BS!R$4</f>
        <v>0</v>
      </c>
      <c r="S14" s="43">
        <f>BS!S14/BS!S$4</f>
        <v>0</v>
      </c>
      <c r="T14" s="43">
        <f>BS!T14/BS!T$4</f>
        <v>0</v>
      </c>
      <c r="U14" s="43">
        <f>BS!U14/BS!U$4</f>
        <v>0</v>
      </c>
      <c r="V14" s="43">
        <f>BS!V14/BS!V$4</f>
        <v>4.0599486138831596E-2</v>
      </c>
    </row>
    <row r="15" spans="2:22" x14ac:dyDescent="0.55000000000000004">
      <c r="B15" s="11" t="s">
        <v>35</v>
      </c>
      <c r="C15" s="43">
        <f>BS!C15/BS!$C$4</f>
        <v>0</v>
      </c>
      <c r="D15" s="43">
        <f>BS!D15/BS!D$4</f>
        <v>0</v>
      </c>
      <c r="E15" s="43">
        <f>BS!E15/BS!E$4</f>
        <v>6.0118265440210247E-2</v>
      </c>
      <c r="F15" s="43">
        <f>BS!F15/BS!F$4</f>
        <v>0.22163743921180609</v>
      </c>
      <c r="G15" s="43">
        <f>BS!G15/BS!G$4</f>
        <v>0.33772262346541099</v>
      </c>
      <c r="H15" s="43">
        <f>BS!H15/BS!H$4</f>
        <v>0.47793694305282247</v>
      </c>
      <c r="I15" s="43">
        <f>BS!I15/BS!I$4</f>
        <v>0.52323018902217378</v>
      </c>
      <c r="J15" s="43">
        <f>BS!J15/BS!J$4</f>
        <v>0.51311594202898547</v>
      </c>
      <c r="K15" s="43">
        <f>BS!K15/BS!K$4</f>
        <v>0.56143271839509312</v>
      </c>
      <c r="L15" s="43">
        <f>BS!L15/BS!L$4</f>
        <v>0.56480847152461966</v>
      </c>
      <c r="M15" s="43">
        <f>BS!M15/BS!M$4</f>
        <v>0.52980235384816254</v>
      </c>
      <c r="N15" s="43">
        <f>BS!N15/BS!N$4</f>
        <v>0.51879601086009497</v>
      </c>
      <c r="O15" s="43">
        <f>BS!O15/BS!O$4</f>
        <v>0.46701483354979834</v>
      </c>
      <c r="P15" s="43">
        <f>BS!P15/BS!P$4</f>
        <v>0.3111847002800458</v>
      </c>
      <c r="Q15" s="43">
        <f>BS!Q15/BS!Q$4</f>
        <v>0.31148730425332216</v>
      </c>
      <c r="R15" s="43">
        <f>BS!R15/BS!R$4</f>
        <v>0.36431986142529099</v>
      </c>
      <c r="S15" s="43">
        <f>BS!S15/BS!S$4</f>
        <v>0.34246148176496438</v>
      </c>
      <c r="T15" s="43">
        <f>BS!T15/BS!T$4</f>
        <v>0.28611898016997167</v>
      </c>
      <c r="U15" s="43">
        <f>BS!U15/BS!U$4</f>
        <v>0.24931506849315069</v>
      </c>
      <c r="V15" s="43">
        <f>BS!V15/BS!V$4</f>
        <v>0.21635336723814932</v>
      </c>
    </row>
    <row r="16" spans="2:22" x14ac:dyDescent="0.55000000000000004">
      <c r="B16" s="11" t="s">
        <v>36</v>
      </c>
      <c r="C16" s="43">
        <f>BS!C16/BS!$C$4</f>
        <v>7.4455100261551874E-2</v>
      </c>
      <c r="D16" s="43">
        <f>BS!D16/BS!D$4</f>
        <v>7.2276798043160922E-2</v>
      </c>
      <c r="E16" s="43">
        <f>BS!E16/BS!E$4</f>
        <v>6.2038815323966441E-2</v>
      </c>
      <c r="F16" s="43">
        <f>BS!F16/BS!F$4</f>
        <v>6.2188164459695591E-2</v>
      </c>
      <c r="G16" s="43">
        <f>BS!G16/BS!G$4</f>
        <v>6.3418591968929142E-2</v>
      </c>
      <c r="H16" s="43">
        <f>BS!H16/BS!H$4</f>
        <v>6.6829364704264815E-2</v>
      </c>
      <c r="I16" s="43">
        <f>BS!I16/BS!I$4</f>
        <v>8.7763540530716111E-2</v>
      </c>
      <c r="J16" s="43">
        <f>BS!J16/BS!J$4</f>
        <v>8.0178743961352661E-2</v>
      </c>
      <c r="K16" s="43">
        <f>BS!K16/BS!K$4</f>
        <v>8.8958285706891418E-2</v>
      </c>
      <c r="L16" s="43">
        <f>BS!L16/BS!L$4</f>
        <v>7.7358432106968147E-2</v>
      </c>
      <c r="M16" s="43">
        <f>BS!M16/BS!M$4</f>
        <v>8.3963865384256708E-2</v>
      </c>
      <c r="N16" s="43">
        <f>BS!N16/BS!N$4</f>
        <v>9.0011430276644669E-2</v>
      </c>
      <c r="O16" s="43">
        <f>BS!O16/BS!O$4</f>
        <v>0.11293731628956183</v>
      </c>
      <c r="P16" s="43">
        <f>BS!P16/BS!P$4</f>
        <v>0.11041723286343924</v>
      </c>
      <c r="Q16" s="43">
        <f>BS!Q16/BS!Q$4</f>
        <v>0.11351454823889739</v>
      </c>
      <c r="R16" s="43">
        <f>BS!R16/BS!R$4</f>
        <v>0.11236403211377712</v>
      </c>
      <c r="S16" s="43">
        <f>BS!S16/BS!S$4</f>
        <v>0.11939448058851043</v>
      </c>
      <c r="T16" s="43">
        <f>BS!T16/BS!T$4</f>
        <v>0.12464589235127478</v>
      </c>
      <c r="U16" s="43">
        <f>BS!U16/BS!U$4</f>
        <v>0.12602739726027398</v>
      </c>
      <c r="V16" s="43">
        <f>BS!V16/BS!V$4</f>
        <v>0.1387202462970541</v>
      </c>
    </row>
    <row r="17" spans="2:22" x14ac:dyDescent="0.55000000000000004">
      <c r="B17" s="11" t="s">
        <v>37</v>
      </c>
      <c r="C17" s="43">
        <f>BS!C17/BS!$C$4</f>
        <v>2.2086602731764024E-3</v>
      </c>
      <c r="D17" s="43">
        <f>BS!D17/BS!D$4</f>
        <v>1.499191225786089E-3</v>
      </c>
      <c r="E17" s="43">
        <f>BS!E17/BS!E$4</f>
        <v>5.2309713939148886E-3</v>
      </c>
      <c r="F17" s="43">
        <f>BS!F17/BS!F$4</f>
        <v>4.3367508052462051E-3</v>
      </c>
      <c r="G17" s="43">
        <f>BS!G17/BS!G$4</f>
        <v>9.8559514783927212E-3</v>
      </c>
      <c r="H17" s="43">
        <f>BS!H17/BS!H$4</f>
        <v>7.6995127652078272E-3</v>
      </c>
      <c r="I17" s="43">
        <f>BS!I17/BS!I$4</f>
        <v>6.4465194474736462E-3</v>
      </c>
      <c r="J17" s="43">
        <f>BS!J17/BS!J$4</f>
        <v>7.6183574879227049E-3</v>
      </c>
      <c r="K17" s="43">
        <f>BS!K17/BS!K$4</f>
        <v>1.9910368833543968E-2</v>
      </c>
      <c r="L17" s="43">
        <f>BS!L17/BS!L$4</f>
        <v>1.7612288668027637E-2</v>
      </c>
      <c r="M17" s="43">
        <f>BS!M17/BS!M$4</f>
        <v>1.6830076534260118E-2</v>
      </c>
      <c r="N17" s="43">
        <f>BS!N17/BS!N$4</f>
        <v>1.5232375659105986E-2</v>
      </c>
      <c r="O17" s="43">
        <f>BS!O17/BS!O$4</f>
        <v>0</v>
      </c>
      <c r="P17" s="43">
        <f>BS!P17/BS!P$4</f>
        <v>0</v>
      </c>
      <c r="Q17" s="43">
        <f>BS!Q17/BS!Q$4</f>
        <v>0</v>
      </c>
      <c r="R17" s="43">
        <f>BS!R17/BS!R$4</f>
        <v>0</v>
      </c>
      <c r="S17" s="43">
        <f>BS!S17/BS!S$4</f>
        <v>0</v>
      </c>
      <c r="T17" s="43">
        <f>BS!T17/BS!T$4</f>
        <v>0</v>
      </c>
      <c r="U17" s="43">
        <f>BS!U17/BS!U$4</f>
        <v>0</v>
      </c>
      <c r="V17" s="43">
        <f>BS!V17/BS!V$4</f>
        <v>0</v>
      </c>
    </row>
    <row r="18" spans="2:22" x14ac:dyDescent="0.55000000000000004">
      <c r="B18" s="11" t="s">
        <v>38</v>
      </c>
      <c r="C18" s="43">
        <f>BS!C18/BS!$C$4</f>
        <v>8.0790467887242104E-3</v>
      </c>
      <c r="D18" s="43">
        <f>BS!D18/BS!D$4</f>
        <v>1.1796267802895805E-2</v>
      </c>
      <c r="E18" s="43">
        <f>BS!E18/BS!E$4</f>
        <v>7.2020620640857163E-3</v>
      </c>
      <c r="F18" s="43">
        <f>BS!F18/BS!F$4</f>
        <v>5.1998905286204499E-3</v>
      </c>
      <c r="G18" s="43">
        <f>BS!G18/BS!G$4</f>
        <v>4.5489006823351023E-3</v>
      </c>
      <c r="H18" s="43">
        <f>BS!H18/BS!H$4</f>
        <v>3.0385577162695174E-2</v>
      </c>
      <c r="I18" s="43">
        <f>BS!I18/BS!I$4</f>
        <v>2.399127589967285E-2</v>
      </c>
      <c r="J18" s="43">
        <f>BS!J18/BS!J$4</f>
        <v>2.018840579710145E-2</v>
      </c>
      <c r="K18" s="43">
        <f>BS!K18/BS!K$4</f>
        <v>1.7865846557309169E-2</v>
      </c>
      <c r="L18" s="43">
        <f>BS!L18/BS!L$4</f>
        <v>1.3402001521624627E-2</v>
      </c>
      <c r="M18" s="43">
        <f>BS!M18/BS!M$4</f>
        <v>9.966240371045057E-3</v>
      </c>
      <c r="N18" s="43">
        <f>BS!N18/BS!N$4</f>
        <v>6.1227915453254426E-3</v>
      </c>
      <c r="O18" s="43">
        <f>BS!O18/BS!O$4</f>
        <v>0</v>
      </c>
      <c r="P18" s="43">
        <f>BS!P18/BS!P$4</f>
        <v>0</v>
      </c>
      <c r="Q18" s="43">
        <f>BS!Q18/BS!Q$4</f>
        <v>0</v>
      </c>
      <c r="R18" s="43">
        <f>BS!R18/BS!R$4</f>
        <v>0</v>
      </c>
      <c r="S18" s="43">
        <f>BS!S18/BS!S$4</f>
        <v>0</v>
      </c>
      <c r="T18" s="43">
        <f>BS!T18/BS!T$4</f>
        <v>0</v>
      </c>
      <c r="U18" s="43">
        <f>BS!U18/BS!U$4</f>
        <v>0</v>
      </c>
      <c r="V18" s="43">
        <f>BS!V18/BS!V$4</f>
        <v>0</v>
      </c>
    </row>
    <row r="19" spans="2:22" x14ac:dyDescent="0.55000000000000004">
      <c r="B19" s="11" t="s">
        <v>39</v>
      </c>
      <c r="C19" s="43">
        <f>BS!C19/BS!$C$4</f>
        <v>7.1955826794536479E-2</v>
      </c>
      <c r="D19" s="43">
        <f>BS!D19/BS!D$4</f>
        <v>4.8210833629226332E-2</v>
      </c>
      <c r="E19" s="43">
        <f>BS!E19/BS!E$4</f>
        <v>4.8898210856160917E-2</v>
      </c>
      <c r="F19" s="43">
        <f>BS!F19/BS!F$4</f>
        <v>4.2335950822087957E-2</v>
      </c>
      <c r="G19" s="43">
        <f>BS!G19/BS!G$4</f>
        <v>3.0099889602702736E-2</v>
      </c>
      <c r="H19" s="43">
        <f>BS!H19/BS!H$4</f>
        <v>3.0557441286918563E-2</v>
      </c>
      <c r="I19" s="43">
        <f>BS!I19/BS!I$4</f>
        <v>3.1113685932388221E-2</v>
      </c>
      <c r="J19" s="43">
        <f>BS!J19/BS!J$4</f>
        <v>2.4859903381642512E-2</v>
      </c>
      <c r="K19" s="43">
        <f>BS!K19/BS!K$4</f>
        <v>1.6235404742083945E-2</v>
      </c>
      <c r="L19" s="43">
        <f>BS!L19/BS!L$4</f>
        <v>1.9127028115629701E-2</v>
      </c>
      <c r="M19" s="43">
        <f>BS!M19/BS!M$4</f>
        <v>2.7222198044055384E-2</v>
      </c>
      <c r="N19" s="43">
        <f>BS!N19/BS!N$4</f>
        <v>2.7075634327065778E-2</v>
      </c>
      <c r="O19" s="43">
        <f>BS!O19/BS!O$4</f>
        <v>6.0928293116412603E-2</v>
      </c>
      <c r="P19" s="43">
        <f>BS!P19/BS!P$4</f>
        <v>9.7419324345082658E-2</v>
      </c>
      <c r="Q19" s="43">
        <f>BS!Q19/BS!Q$4</f>
        <v>0.1312861235982809</v>
      </c>
      <c r="R19" s="43">
        <f>BS!R19/BS!R$4</f>
        <v>0.13917014717864853</v>
      </c>
      <c r="S19" s="43">
        <f>BS!S19/BS!S$4</f>
        <v>0.15429405678161898</v>
      </c>
      <c r="T19" s="43">
        <f>BS!T19/BS!T$4</f>
        <v>0.18413597733711048</v>
      </c>
      <c r="U19" s="43">
        <f>BS!U19/BS!U$4</f>
        <v>0.20547945205479451</v>
      </c>
      <c r="V19" s="43">
        <f>BS!V19/BS!V$4</f>
        <v>0.23306638162125148</v>
      </c>
    </row>
    <row r="20" spans="2:22" x14ac:dyDescent="0.55000000000000004">
      <c r="B20" s="11" t="s">
        <v>40</v>
      </c>
      <c r="C20" s="43">
        <f>BS!C20/BS!$C$4</f>
        <v>1</v>
      </c>
      <c r="D20" s="43">
        <f>BS!D20/BS!D$4</f>
        <v>1</v>
      </c>
      <c r="E20" s="43">
        <f>BS!E20/BS!E$4</f>
        <v>1</v>
      </c>
      <c r="F20" s="43">
        <f>BS!F20/BS!F$4</f>
        <v>1</v>
      </c>
      <c r="G20" s="43">
        <f>BS!G20/BS!G$4</f>
        <v>1</v>
      </c>
      <c r="H20" s="43">
        <f>BS!H20/BS!H$4</f>
        <v>1</v>
      </c>
      <c r="I20" s="43">
        <f>BS!I20/BS!I$4</f>
        <v>1</v>
      </c>
      <c r="J20" s="43">
        <f>BS!J20/BS!J$4</f>
        <v>1</v>
      </c>
      <c r="K20" s="43">
        <f>BS!K20/BS!K$4</f>
        <v>1</v>
      </c>
      <c r="L20" s="43">
        <f>BS!L20/BS!L$4</f>
        <v>1</v>
      </c>
      <c r="M20" s="43">
        <f>BS!M20/BS!M$4</f>
        <v>1</v>
      </c>
      <c r="N20" s="43">
        <f>BS!N20/BS!N$4</f>
        <v>1</v>
      </c>
      <c r="O20" s="43">
        <f>BS!O20/BS!O$4</f>
        <v>1</v>
      </c>
      <c r="P20" s="43">
        <f>BS!P20/BS!P$4</f>
        <v>1</v>
      </c>
      <c r="Q20" s="43">
        <f>BS!Q20/BS!Q$4</f>
        <v>1</v>
      </c>
      <c r="R20" s="43">
        <f>BS!R20/BS!R$4</f>
        <v>0.99999430202676909</v>
      </c>
      <c r="S20" s="43">
        <f>BS!S20/BS!S$4</f>
        <v>1</v>
      </c>
      <c r="T20" s="43">
        <f>BS!T20/BS!T$4</f>
        <v>1</v>
      </c>
      <c r="U20" s="43">
        <f>BS!U20/BS!U$4</f>
        <v>1</v>
      </c>
      <c r="V20" s="43">
        <f>BS!V20/BS!V$4</f>
        <v>1</v>
      </c>
    </row>
    <row r="21" spans="2:22" x14ac:dyDescent="0.55000000000000004">
      <c r="B21" s="11" t="s">
        <v>41</v>
      </c>
      <c r="C21" s="43">
        <f>BS!C21/BS!$C$4</f>
        <v>0.41970357454228424</v>
      </c>
      <c r="D21" s="43">
        <f>BS!D21/BS!D$4</f>
        <v>0.42667771333885662</v>
      </c>
      <c r="E21" s="43">
        <f>BS!E21/BS!E$4</f>
        <v>0.46856363085009606</v>
      </c>
      <c r="F21" s="43">
        <f>BS!F21/BS!F$4</f>
        <v>0.33390875981558288</v>
      </c>
      <c r="G21" s="43">
        <f>BS!G21/BS!G$4</f>
        <v>0.36433768272082778</v>
      </c>
      <c r="H21" s="43">
        <f>BS!H21/BS!H$4</f>
        <v>0.34163150613125265</v>
      </c>
      <c r="I21" s="43">
        <f>BS!I21/BS!I$4</f>
        <v>0.32859641948382406</v>
      </c>
      <c r="J21" s="43">
        <f>BS!J21/BS!J$4</f>
        <v>0.40314492753623188</v>
      </c>
      <c r="K21" s="43">
        <f>BS!K21/BS!K$4</f>
        <v>0.51886007099754572</v>
      </c>
      <c r="L21" s="43">
        <f>BS!L21/BS!L$4</f>
        <v>0.58910971188967187</v>
      </c>
      <c r="M21" s="43">
        <f>BS!M21/BS!M$4</f>
        <v>0.60132240756514121</v>
      </c>
      <c r="N21" s="43">
        <f>BS!N21/BS!N$4</f>
        <v>0.64284515305646661</v>
      </c>
      <c r="O21" s="43">
        <f>BS!O21/BS!O$4</f>
        <v>0.70702850502426673</v>
      </c>
      <c r="P21" s="43">
        <f>BS!P21/BS!P$4</f>
        <v>0.73269210317976097</v>
      </c>
      <c r="Q21" s="43">
        <f>BS!Q21/BS!Q$4</f>
        <v>0.79826668477992391</v>
      </c>
      <c r="R21" s="43">
        <f>BS!R21/BS!R$4</f>
        <v>0.82025743443057297</v>
      </c>
      <c r="S21" s="43">
        <f>BS!S21/BS!S$4</f>
        <v>0.85635355983614703</v>
      </c>
      <c r="T21" s="43">
        <f>BS!T21/BS!T$4</f>
        <v>0.82152974504249288</v>
      </c>
      <c r="U21" s="43">
        <f>BS!U21/BS!U$4</f>
        <v>0.84383561643835614</v>
      </c>
      <c r="V21" s="43">
        <f>BS!V21/BS!V$4</f>
        <v>0.79475338282657049</v>
      </c>
    </row>
    <row r="22" spans="2:22" x14ac:dyDescent="0.55000000000000004">
      <c r="B22" s="11" t="s">
        <v>42</v>
      </c>
      <c r="C22" s="43">
        <f>BS!C22/BS!$C$4</f>
        <v>0.37448416158093578</v>
      </c>
      <c r="D22" s="43">
        <f>BS!D22/BS!D$4</f>
        <v>0.36611827829723437</v>
      </c>
      <c r="E22" s="43">
        <f>BS!E22/BS!E$4</f>
        <v>0.35611038107752957</v>
      </c>
      <c r="F22" s="43">
        <f>BS!F22/BS!F$4</f>
        <v>0.24222647944253806</v>
      </c>
      <c r="G22" s="43">
        <f>BS!G22/BS!G$4</f>
        <v>0.27562081853610521</v>
      </c>
      <c r="H22" s="43">
        <f>BS!H22/BS!H$4</f>
        <v>0.24035197772640951</v>
      </c>
      <c r="I22" s="43">
        <f>BS!I22/BS!I$4</f>
        <v>0.21890903307888043</v>
      </c>
      <c r="J22" s="43">
        <f>BS!J22/BS!J$4</f>
        <v>0.21090821256038647</v>
      </c>
      <c r="K22" s="43">
        <f>BS!K22/BS!K$4</f>
        <v>0.27367267802224821</v>
      </c>
      <c r="L22" s="43">
        <f>BS!L22/BS!L$4</f>
        <v>0.27750715198000547</v>
      </c>
      <c r="M22" s="43">
        <f>BS!M22/BS!M$4</f>
        <v>0.24559974633648965</v>
      </c>
      <c r="N22" s="43">
        <f>BS!N22/BS!N$4</f>
        <v>0.26860883674953834</v>
      </c>
      <c r="O22" s="43">
        <f>BS!O22/BS!O$4</f>
        <v>0.31954610704764508</v>
      </c>
      <c r="P22" s="43">
        <f>BS!P22/BS!P$4</f>
        <v>0.31229838471445959</v>
      </c>
      <c r="Q22" s="43">
        <f>BS!Q22/BS!Q$4</f>
        <v>0.32539643333498003</v>
      </c>
      <c r="R22" s="43">
        <f>BS!R22/BS!R$4</f>
        <v>0.35749368949464672</v>
      </c>
      <c r="S22" s="43">
        <f>BS!S22/BS!S$4</f>
        <v>0.43651259372652407</v>
      </c>
      <c r="T22" s="43">
        <f>BS!T22/BS!T$4</f>
        <v>0.41076487252124644</v>
      </c>
      <c r="U22" s="43">
        <f>BS!U22/BS!U$4</f>
        <v>0.48219178082191783</v>
      </c>
      <c r="V22" s="43">
        <f>BS!V22/BS!V$4</f>
        <v>0.4610581754309781</v>
      </c>
    </row>
    <row r="23" spans="2:22" x14ac:dyDescent="0.55000000000000004">
      <c r="B23" s="11" t="s">
        <v>112</v>
      </c>
      <c r="C23" s="43">
        <f>BS!C23/BS!$C$4</f>
        <v>0.19703574542284222</v>
      </c>
      <c r="D23" s="43">
        <f>BS!D23/BS!D$4</f>
        <v>0.19607843137254899</v>
      </c>
      <c r="E23" s="43">
        <f>BS!E23/BS!E$4</f>
        <v>0.13949257050439703</v>
      </c>
      <c r="F23" s="43">
        <f>BS!F23/BS!F$4</f>
        <v>0.11791330708827183</v>
      </c>
      <c r="G23" s="43">
        <f>BS!G23/BS!G$4</f>
        <v>0.15981006344519372</v>
      </c>
      <c r="H23" s="43">
        <f>BS!H23/BS!H$4</f>
        <v>0.12573579328183138</v>
      </c>
      <c r="I23" s="43">
        <f>BS!I23/BS!I$4</f>
        <v>0.1202687659033079</v>
      </c>
      <c r="J23" s="43">
        <f>BS!J23/BS!J$4</f>
        <v>0.10805314009661836</v>
      </c>
      <c r="K23" s="43">
        <f>BS!K23/BS!K$4</f>
        <v>0.13024555834005497</v>
      </c>
      <c r="L23" s="43">
        <f>BS!L23/BS!L$4</f>
        <v>0.12217750680772105</v>
      </c>
      <c r="M23" s="43">
        <f>BS!M23/BS!M$4</f>
        <v>0.11593292838357902</v>
      </c>
      <c r="N23" s="43">
        <f>BS!N23/BS!N$4</f>
        <v>0.13068616297069957</v>
      </c>
      <c r="O23" s="43">
        <f>BS!O23/BS!O$4</f>
        <v>0.15281427301934511</v>
      </c>
      <c r="P23" s="43">
        <f>BS!P23/BS!P$4</f>
        <v>0.1365843859669853</v>
      </c>
      <c r="Q23" s="43">
        <f>BS!Q23/BS!Q$4</f>
        <v>0.13058835152892359</v>
      </c>
      <c r="R23" s="43">
        <f>BS!R23/BS!R$4</f>
        <v>0.1560190540224842</v>
      </c>
      <c r="S23" s="43">
        <f>BS!S23/BS!S$4</f>
        <v>0.18175504245155985</v>
      </c>
      <c r="T23" s="43">
        <f>BS!T23/BS!T$4</f>
        <v>0.17847025495750707</v>
      </c>
      <c r="U23" s="43">
        <f>BS!U23/BS!U$4</f>
        <v>0.18904109589041096</v>
      </c>
      <c r="V23" s="43">
        <f>BS!V23/BS!V$4</f>
        <v>0.19446555376474289</v>
      </c>
    </row>
    <row r="24" spans="2:22" x14ac:dyDescent="0.55000000000000004">
      <c r="B24" s="11" t="s">
        <v>111</v>
      </c>
      <c r="C24" s="43">
        <f>BS!C24/BS!$C$4</f>
        <v>0.17744841615809359</v>
      </c>
      <c r="D24" s="43">
        <f>BS!D24/BS!D$4</f>
        <v>0.17003984692468535</v>
      </c>
      <c r="E24" s="43">
        <f>BS!E24/BS!E$4</f>
        <v>0.21661781057313248</v>
      </c>
      <c r="F24" s="43">
        <f>BS!F24/BS!F$4</f>
        <v>0.12431317235426624</v>
      </c>
      <c r="G24" s="43">
        <f>BS!G24/BS!G$4</f>
        <v>0.1158107550909115</v>
      </c>
      <c r="H24" s="43">
        <f>BS!H24/BS!H$4</f>
        <v>0.11461618444457812</v>
      </c>
      <c r="I24" s="43">
        <f>BS!I24/BS!I$4</f>
        <v>9.8640267175572532E-2</v>
      </c>
      <c r="J24" s="43">
        <f>BS!J24/BS!J$4</f>
        <v>0.10285507246376811</v>
      </c>
      <c r="K24" s="43">
        <f>BS!K24/BS!K$4</f>
        <v>0.11621858272335543</v>
      </c>
      <c r="L24" s="43">
        <f>BS!L24/BS!L$4</f>
        <v>0.11746460157188644</v>
      </c>
      <c r="M24" s="43">
        <f>BS!M24/BS!M$4</f>
        <v>9.3591266017172034E-2</v>
      </c>
      <c r="N24" s="43">
        <f>BS!N24/BS!N$4</f>
        <v>8.8703209802861033E-2</v>
      </c>
      <c r="O24" s="43">
        <f>BS!O24/BS!O$4</f>
        <v>0.1100006835737234</v>
      </c>
      <c r="P24" s="43">
        <f>BS!P24/BS!P$4</f>
        <v>0.12773990003426719</v>
      </c>
      <c r="Q24" s="43">
        <f>BS!Q24/BS!Q$4</f>
        <v>0.13178629649755472</v>
      </c>
      <c r="R24" s="43">
        <f>BS!R24/BS!R$4</f>
        <v>0.13530692132808361</v>
      </c>
      <c r="S24" s="43">
        <f>BS!S24/BS!S$4</f>
        <v>0.17248515258465508</v>
      </c>
      <c r="T24" s="43">
        <f>BS!T24/BS!T$4</f>
        <v>0.16713881019830029</v>
      </c>
      <c r="U24" s="43">
        <f>BS!U24/BS!U$4</f>
        <v>0.21369863013698631</v>
      </c>
      <c r="V24" s="43">
        <f>BS!V24/BS!V$4</f>
        <v>0.18479794900916099</v>
      </c>
    </row>
    <row r="25" spans="2:22" x14ac:dyDescent="0.55000000000000004">
      <c r="B25" s="11" t="s">
        <v>45</v>
      </c>
      <c r="C25" s="43">
        <f>BS!C25/BS!$C$4</f>
        <v>0</v>
      </c>
      <c r="D25" s="43">
        <f>BS!D25/BS!D$4</f>
        <v>0</v>
      </c>
      <c r="E25" s="43">
        <f>BS!E25/BS!E$4</f>
        <v>9.3980592338016769E-2</v>
      </c>
      <c r="F25" s="43">
        <f>BS!F25/BS!F$4</f>
        <v>8.1093029620429039E-2</v>
      </c>
      <c r="G25" s="43">
        <f>BS!G25/BS!G$4</f>
        <v>7.6120931593578328E-2</v>
      </c>
      <c r="H25" s="43">
        <f>BS!H25/BS!H$4</f>
        <v>7.9461377834683905E-2</v>
      </c>
      <c r="I25" s="43">
        <f>BS!I25/BS!I$4</f>
        <v>6.4828698655034531E-2</v>
      </c>
      <c r="J25" s="43">
        <f>BS!J25/BS!J$4</f>
        <v>6.6937198067632847E-2</v>
      </c>
      <c r="K25" s="43">
        <f>BS!K25/BS!K$4</f>
        <v>7.9594028614685189E-2</v>
      </c>
      <c r="L25" s="43">
        <f>BS!L25/BS!L$4</f>
        <v>8.6687850068335418E-2</v>
      </c>
      <c r="M25" s="43">
        <f>BS!M25/BS!M$4</f>
        <v>6.8473604695261842E-2</v>
      </c>
      <c r="N25" s="43">
        <f>BS!N25/BS!N$4</f>
        <v>6.8592317468606695E-2</v>
      </c>
      <c r="O25" s="43">
        <f>BS!O25/BS!O$4</f>
        <v>8.9375897190511991E-2</v>
      </c>
      <c r="P25" s="43">
        <f>BS!P25/BS!P$4</f>
        <v>0.11142752484372968</v>
      </c>
      <c r="Q25" s="43">
        <f>BS!Q25/BS!Q$4</f>
        <v>0</v>
      </c>
      <c r="R25" s="43">
        <f>BS!R25/BS!R$4</f>
        <v>0</v>
      </c>
      <c r="S25" s="43">
        <f>BS!S25/BS!S$4</f>
        <v>0</v>
      </c>
      <c r="T25" s="43">
        <f>BS!T25/BS!T$4</f>
        <v>0</v>
      </c>
      <c r="U25" s="43">
        <f>BS!U25/BS!U$4</f>
        <v>0</v>
      </c>
      <c r="V25" s="43">
        <f>BS!V25/BS!V$4</f>
        <v>0</v>
      </c>
    </row>
    <row r="26" spans="2:22" x14ac:dyDescent="0.55000000000000004">
      <c r="B26" s="11" t="s">
        <v>46</v>
      </c>
      <c r="C26" s="43">
        <f>BS!C26/BS!$C$4</f>
        <v>0</v>
      </c>
      <c r="D26" s="43">
        <f>BS!D26/BS!D$4</f>
        <v>0</v>
      </c>
      <c r="E26" s="43">
        <f>BS!E26/BS!E$4</f>
        <v>0.12263721823511572</v>
      </c>
      <c r="F26" s="43">
        <f>BS!F26/BS!F$4</f>
        <v>4.3220142733837182E-2</v>
      </c>
      <c r="G26" s="43">
        <f>BS!G26/BS!G$4</f>
        <v>3.9689823497333167E-2</v>
      </c>
      <c r="H26" s="43">
        <f>BS!H26/BS!H$4</f>
        <v>3.5154806609894222E-2</v>
      </c>
      <c r="I26" s="43">
        <f>BS!I26/BS!I$4</f>
        <v>3.3811568520537988E-2</v>
      </c>
      <c r="J26" s="43">
        <f>BS!J26/BS!J$4</f>
        <v>3.5917874396135266E-2</v>
      </c>
      <c r="K26" s="43">
        <f>BS!K26/BS!K$4</f>
        <v>3.6624554108670243E-2</v>
      </c>
      <c r="L26" s="43">
        <f>BS!L26/BS!L$4</f>
        <v>3.0776751503551032E-2</v>
      </c>
      <c r="M26" s="43">
        <f>BS!M26/BS!M$4</f>
        <v>2.5117661321910189E-2</v>
      </c>
      <c r="N26" s="43">
        <f>BS!N26/BS!N$4</f>
        <v>2.0110892334254327E-2</v>
      </c>
      <c r="O26" s="43">
        <f>BS!O26/BS!O$4</f>
        <v>2.0624786383211427E-2</v>
      </c>
      <c r="P26" s="43">
        <f>BS!P26/BS!P$4</f>
        <v>1.6312375190537524E-2</v>
      </c>
      <c r="Q26" s="43">
        <f>BS!Q26/BS!Q$4</f>
        <v>2.05101763572593E-2</v>
      </c>
      <c r="R26" s="43">
        <f>BS!R26/BS!R$4</f>
        <v>2.1652298277502691E-2</v>
      </c>
      <c r="S26" s="43">
        <f>BS!S26/BS!S$4</f>
        <v>2.2429164717721932E-2</v>
      </c>
      <c r="T26" s="43">
        <f>BS!T26/BS!T$4</f>
        <v>2.2662889518413599E-2</v>
      </c>
      <c r="U26" s="43">
        <f>BS!U26/BS!U$4</f>
        <v>2.1917808219178082E-2</v>
      </c>
      <c r="V26" s="43">
        <f>BS!V26/BS!V$4</f>
        <v>2.5205920259658558E-2</v>
      </c>
    </row>
    <row r="27" spans="2:22" x14ac:dyDescent="0.55000000000000004">
      <c r="B27" s="11" t="s">
        <v>47</v>
      </c>
      <c r="C27" s="43">
        <f>BS!C27/BS!$C$4</f>
        <v>0</v>
      </c>
      <c r="D27" s="43">
        <f>BS!D27/BS!D$4</f>
        <v>0</v>
      </c>
      <c r="E27" s="43">
        <f>BS!E27/BS!E$4</f>
        <v>0</v>
      </c>
      <c r="F27" s="43">
        <f>BS!F27/BS!F$4</f>
        <v>0</v>
      </c>
      <c r="G27" s="43">
        <f>BS!G27/BS!G$4</f>
        <v>0</v>
      </c>
      <c r="H27" s="43">
        <f>BS!H27/BS!H$4</f>
        <v>0</v>
      </c>
      <c r="I27" s="43">
        <f>BS!I27/BS!I$4</f>
        <v>0</v>
      </c>
      <c r="J27" s="43">
        <f>BS!J27/BS!J$4</f>
        <v>0</v>
      </c>
      <c r="K27" s="43">
        <f>BS!K27/BS!K$4</f>
        <v>2.7208536958837813E-2</v>
      </c>
      <c r="L27" s="43">
        <f>BS!L27/BS!L$4</f>
        <v>2.925856946629533E-2</v>
      </c>
      <c r="M27" s="43">
        <f>BS!M27/BS!M$4</f>
        <v>2.5195376858178475E-2</v>
      </c>
      <c r="N27" s="43">
        <f>BS!N27/BS!N$4</f>
        <v>3.1911520599809763E-2</v>
      </c>
      <c r="O27" s="43">
        <f>BS!O27/BS!O$4</f>
        <v>3.2713104108278074E-2</v>
      </c>
      <c r="P27" s="43">
        <f>BS!P27/BS!P$4</f>
        <v>1.7665339304493731E-2</v>
      </c>
      <c r="Q27" s="43">
        <f>BS!Q27/BS!Q$4</f>
        <v>1.5425085214642101E-2</v>
      </c>
      <c r="R27" s="43">
        <f>BS!R27/BS!R$4</f>
        <v>1.7093919692765282E-2</v>
      </c>
      <c r="S27" s="43">
        <f>BS!S27/BS!S$4</f>
        <v>2.8297260138056158E-2</v>
      </c>
      <c r="T27" s="43">
        <f>BS!T27/BS!T$4</f>
        <v>1.69971671388102E-2</v>
      </c>
      <c r="U27" s="43">
        <f>BS!U27/BS!U$4</f>
        <v>2.7397260273972601E-2</v>
      </c>
      <c r="V27" s="43">
        <f>BS!V27/BS!V$4</f>
        <v>2.2210716482806807E-2</v>
      </c>
    </row>
    <row r="28" spans="2:22" x14ac:dyDescent="0.55000000000000004">
      <c r="B28" s="11" t="s">
        <v>48</v>
      </c>
      <c r="C28" s="43">
        <f>BS!C28/BS!$C$4</f>
        <v>0</v>
      </c>
      <c r="D28" s="43">
        <f>BS!D28/BS!D$4</f>
        <v>0</v>
      </c>
      <c r="E28" s="43">
        <f>BS!E28/BS!E$4</f>
        <v>0</v>
      </c>
      <c r="F28" s="43">
        <f>BS!F28/BS!F$4</f>
        <v>0</v>
      </c>
      <c r="G28" s="43">
        <f>BS!G28/BS!G$4</f>
        <v>0</v>
      </c>
      <c r="H28" s="43">
        <f>BS!H28/BS!H$4</f>
        <v>0</v>
      </c>
      <c r="I28" s="43">
        <f>BS!I28/BS!I$4</f>
        <v>0</v>
      </c>
      <c r="J28" s="43">
        <f>BS!J28/BS!J$4</f>
        <v>0</v>
      </c>
      <c r="K28" s="43">
        <f>BS!K28/BS!K$4</f>
        <v>0</v>
      </c>
      <c r="L28" s="43">
        <f>BS!L28/BS!L$4</f>
        <v>8.6064741341026381E-3</v>
      </c>
      <c r="M28" s="43">
        <f>BS!M28/BS!M$4</f>
        <v>1.0880175077560107E-2</v>
      </c>
      <c r="N28" s="43">
        <f>BS!N28/BS!N$4</f>
        <v>1.7307943376168006E-2</v>
      </c>
      <c r="O28" s="43">
        <f>BS!O28/BS!O$4</f>
        <v>2.4018046346298449E-2</v>
      </c>
      <c r="P28" s="43">
        <f>BS!P28/BS!P$4</f>
        <v>3.0308759408713321E-2</v>
      </c>
      <c r="Q28" s="43">
        <f>BS!Q28/BS!Q$4</f>
        <v>2.7086523736600306E-2</v>
      </c>
      <c r="R28" s="43">
        <f>BS!R28/BS!R$4</f>
        <v>2.7350271508424451E-2</v>
      </c>
      <c r="S28" s="43">
        <f>BS!S28/BS!S$4</f>
        <v>3.1545973834531046E-2</v>
      </c>
      <c r="T28" s="43">
        <f>BS!T28/BS!T$4</f>
        <v>2.8328611898016998E-2</v>
      </c>
      <c r="U28" s="43">
        <f>BS!U28/BS!U$4</f>
        <v>3.0136986301369864E-2</v>
      </c>
      <c r="V28" s="43">
        <f>BS!V28/BS!V$4</f>
        <v>3.4378035914608855E-2</v>
      </c>
    </row>
    <row r="29" spans="2:22" x14ac:dyDescent="0.55000000000000004">
      <c r="B29" s="11" t="s">
        <v>49</v>
      </c>
      <c r="C29" s="43">
        <f>BS!C29/BS!$C$4</f>
        <v>0</v>
      </c>
      <c r="D29" s="43">
        <f>BS!D29/BS!D$4</f>
        <v>0</v>
      </c>
      <c r="E29" s="43">
        <f>BS!E29/BS!E$4</f>
        <v>0</v>
      </c>
      <c r="F29" s="43">
        <f>BS!F29/BS!F$4</f>
        <v>0</v>
      </c>
      <c r="G29" s="43">
        <f>BS!G29/BS!G$4</f>
        <v>0</v>
      </c>
      <c r="H29" s="43">
        <f>BS!H29/BS!H$4</f>
        <v>0</v>
      </c>
      <c r="I29" s="43">
        <f>BS!I29/BS!I$4</f>
        <v>0</v>
      </c>
      <c r="J29" s="43">
        <f>BS!J29/BS!J$4</f>
        <v>8.1932367149758462E-2</v>
      </c>
      <c r="K29" s="43">
        <f>BS!K29/BS!K$4</f>
        <v>0.12503073253421554</v>
      </c>
      <c r="L29" s="43">
        <f>BS!L29/BS!L$4</f>
        <v>0.18405117065261173</v>
      </c>
      <c r="M29" s="43">
        <f>BS!M29/BS!M$4</f>
        <v>0.23447399016432177</v>
      </c>
      <c r="N29" s="43">
        <f>BS!N29/BS!N$4</f>
        <v>0.25899834540750666</v>
      </c>
      <c r="O29" s="43">
        <f>BS!O29/BS!O$4</f>
        <v>0.25629913186137121</v>
      </c>
      <c r="P29" s="43">
        <f>BS!P29/BS!P$4</f>
        <v>0.27120431530562811</v>
      </c>
      <c r="Q29" s="43">
        <f>BS!Q29/BS!Q$4</f>
        <v>0.30463308304105124</v>
      </c>
      <c r="R29" s="43">
        <f>BS!R29/BS!R$4</f>
        <v>0.31084153366647482</v>
      </c>
      <c r="S29" s="43">
        <f>BS!S29/BS!S$4</f>
        <v>0.28053181386514719</v>
      </c>
      <c r="T29" s="43">
        <f>BS!T29/BS!T$4</f>
        <v>0.26912181303116145</v>
      </c>
      <c r="U29" s="43">
        <f>BS!U29/BS!U$4</f>
        <v>0.23561643835616439</v>
      </c>
      <c r="V29" s="43">
        <f>BS!V29/BS!V$4</f>
        <v>0.21803747345097027</v>
      </c>
    </row>
    <row r="30" spans="2:22" x14ac:dyDescent="0.55000000000000004">
      <c r="B30" s="11" t="s">
        <v>50</v>
      </c>
      <c r="C30" s="43">
        <f>BS!C30/BS!$C$4</f>
        <v>4.5219412961348453E-2</v>
      </c>
      <c r="D30" s="43">
        <f>BS!D30/BS!D$4</f>
        <v>6.0559435041622277E-2</v>
      </c>
      <c r="E30" s="43">
        <f>BS!E30/BS!E$4</f>
        <v>0.11245324977256646</v>
      </c>
      <c r="F30" s="43">
        <f>BS!F30/BS!F$4</f>
        <v>9.1682280373044794E-2</v>
      </c>
      <c r="G30" s="43">
        <f>BS!G30/BS!G$4</f>
        <v>8.8716864184722605E-2</v>
      </c>
      <c r="H30" s="43">
        <f>BS!H30/BS!H$4</f>
        <v>0.10127952840484312</v>
      </c>
      <c r="I30" s="43">
        <f>BS!I30/BS!I$4</f>
        <v>0.10968738640494367</v>
      </c>
      <c r="J30" s="43">
        <f>BS!J30/BS!J$4</f>
        <v>0.11030434782608695</v>
      </c>
      <c r="K30" s="43">
        <f>BS!K30/BS!K$4</f>
        <v>0.12015666044108196</v>
      </c>
      <c r="L30" s="43">
        <f>BS!L30/BS!L$4</f>
        <v>0.12755138925705475</v>
      </c>
      <c r="M30" s="43">
        <f>BS!M30/BS!M$4</f>
        <v>0.12123623657852689</v>
      </c>
      <c r="N30" s="43">
        <f>BS!N30/BS!N$4</f>
        <v>0.11523797089942155</v>
      </c>
      <c r="O30" s="43">
        <f>BS!O30/BS!O$4</f>
        <v>0.13118326611525052</v>
      </c>
      <c r="P30" s="43">
        <f>BS!P30/BS!P$4</f>
        <v>0.14918940315967338</v>
      </c>
      <c r="Q30" s="43">
        <f>BS!Q30/BS!Q$4</f>
        <v>0.16823716840389272</v>
      </c>
      <c r="R30" s="43">
        <f>BS!R30/BS!R$4</f>
        <v>0.15192221126945146</v>
      </c>
      <c r="S30" s="43">
        <f>BS!S30/BS!S$4</f>
        <v>0.13930915224447563</v>
      </c>
      <c r="T30" s="43">
        <f>BS!T30/BS!T$4</f>
        <v>0.14164305949008499</v>
      </c>
      <c r="U30" s="43">
        <f>BS!U30/BS!U$4</f>
        <v>0.12602739726027398</v>
      </c>
      <c r="V30" s="43">
        <f>BS!V30/BS!V$4</f>
        <v>0.11565773394462214</v>
      </c>
    </row>
    <row r="31" spans="2:22" x14ac:dyDescent="0.55000000000000004">
      <c r="B31" s="11" t="s">
        <v>51</v>
      </c>
      <c r="C31" s="43">
        <f>BS!C31/BS!$C$4</f>
        <v>0</v>
      </c>
      <c r="D31" s="43">
        <f>BS!D31/BS!D$4</f>
        <v>0</v>
      </c>
      <c r="E31" s="43">
        <f>BS!E31/BS!E$4</f>
        <v>7.6544021024967143E-2</v>
      </c>
      <c r="F31" s="43">
        <f>BS!F31/BS!F$4</f>
        <v>1.7957516683859288E-2</v>
      </c>
      <c r="G31" s="43">
        <f>BS!G31/BS!G$4</f>
        <v>1.5149701395262226E-2</v>
      </c>
      <c r="H31" s="43">
        <f>BS!H31/BS!H$4</f>
        <v>1.4488145672031692E-2</v>
      </c>
      <c r="I31" s="43">
        <f>BS!I31/BS!I$4</f>
        <v>1.5039985459832789E-2</v>
      </c>
      <c r="J31" s="43">
        <f>BS!J31/BS!J$4</f>
        <v>1.2681159420289856E-2</v>
      </c>
      <c r="K31" s="43">
        <f>BS!K31/BS!K$4</f>
        <v>1.3073727888750384E-2</v>
      </c>
      <c r="L31" s="43">
        <f>BS!L31/BS!L$4</f>
        <v>1.2475944904795184E-2</v>
      </c>
      <c r="M31" s="43">
        <f>BS!M31/BS!M$4</f>
        <v>9.015002207121231E-3</v>
      </c>
      <c r="N31" s="43">
        <f>BS!N31/BS!N$4</f>
        <v>7.5562388261718695E-3</v>
      </c>
      <c r="O31" s="43">
        <f>BS!O31/BS!O$4</f>
        <v>7.6478228176908875E-3</v>
      </c>
      <c r="P31" s="43">
        <f>BS!P31/BS!P$4</f>
        <v>0</v>
      </c>
      <c r="Q31" s="43">
        <f>BS!Q31/BS!Q$4</f>
        <v>0</v>
      </c>
      <c r="R31" s="43">
        <f>BS!R31/BS!R$4</f>
        <v>0</v>
      </c>
      <c r="S31" s="43">
        <f>BS!S31/BS!S$4</f>
        <v>0</v>
      </c>
      <c r="T31" s="43">
        <f>BS!T31/BS!T$4</f>
        <v>0</v>
      </c>
      <c r="U31" s="43">
        <f>BS!U31/BS!U$4</f>
        <v>0</v>
      </c>
      <c r="V31" s="43">
        <f>BS!V31/BS!V$4</f>
        <v>0</v>
      </c>
    </row>
    <row r="32" spans="2:22" x14ac:dyDescent="0.55000000000000004">
      <c r="B32" s="11" t="s">
        <v>52</v>
      </c>
      <c r="C32" s="43">
        <f>BS!C32/BS!$C$4</f>
        <v>0</v>
      </c>
      <c r="D32" s="43">
        <f>BS!D32/BS!D$4</f>
        <v>0</v>
      </c>
      <c r="E32" s="43">
        <f>BS!E32/BS!E$4</f>
        <v>3.590922874759931E-2</v>
      </c>
      <c r="F32" s="43">
        <f>BS!F32/BS!F$4</f>
        <v>7.3724763689185485E-2</v>
      </c>
      <c r="G32" s="43">
        <f>BS!G32/BS!G$4</f>
        <v>7.3567162789460377E-2</v>
      </c>
      <c r="H32" s="43">
        <f>BS!H32/BS!H$4</f>
        <v>8.6791382732811437E-2</v>
      </c>
      <c r="I32" s="43">
        <f>BS!I32/BS!I$4</f>
        <v>9.4647400945110885E-2</v>
      </c>
      <c r="J32" s="43">
        <f>BS!J32/BS!J$4</f>
        <v>9.762318840579709E-2</v>
      </c>
      <c r="K32" s="43">
        <f>BS!K32/BS!K$4</f>
        <v>0.10708293255233158</v>
      </c>
      <c r="L32" s="43">
        <f>BS!L32/BS!L$4</f>
        <v>0.11507544435225955</v>
      </c>
      <c r="M32" s="43">
        <f>BS!M32/BS!M$4</f>
        <v>0.11214041021368663</v>
      </c>
      <c r="N32" s="43">
        <f>BS!N32/BS!N$4</f>
        <v>0.10768173207324969</v>
      </c>
      <c r="O32" s="43">
        <f>BS!O32/BS!O$4</f>
        <v>0.12353544329755964</v>
      </c>
      <c r="P32" s="43">
        <f>BS!P32/BS!P$4</f>
        <v>0</v>
      </c>
      <c r="Q32" s="43">
        <f>BS!Q32/BS!Q$4</f>
        <v>0</v>
      </c>
      <c r="R32" s="43">
        <f>BS!R32/BS!R$4</f>
        <v>0</v>
      </c>
      <c r="S32" s="43">
        <f>BS!S32/BS!S$4</f>
        <v>0</v>
      </c>
      <c r="T32" s="43">
        <f>BS!T32/BS!T$4</f>
        <v>0</v>
      </c>
      <c r="U32" s="43">
        <f>BS!U32/BS!U$4</f>
        <v>0</v>
      </c>
      <c r="V32" s="43">
        <f>BS!V32/BS!V$4</f>
        <v>0</v>
      </c>
    </row>
    <row r="33" spans="2:22" x14ac:dyDescent="0.55000000000000004">
      <c r="B33" s="11" t="s">
        <v>53</v>
      </c>
      <c r="C33" s="43">
        <f>BS!C33/BS!$C$4</f>
        <v>0.58029642545771587</v>
      </c>
      <c r="D33" s="43">
        <f>BS!D33/BS!D$4</f>
        <v>0.57332228666114327</v>
      </c>
      <c r="E33" s="43">
        <f>BS!E33/BS!E$4</f>
        <v>0.531436369149904</v>
      </c>
      <c r="F33" s="43">
        <f>BS!F33/BS!F$4</f>
        <v>0.66609124018441723</v>
      </c>
      <c r="G33" s="43">
        <f>BS!G33/BS!G$4</f>
        <v>0.63566231727917211</v>
      </c>
      <c r="H33" s="43">
        <f>BS!H33/BS!H$4</f>
        <v>0.65836849386874741</v>
      </c>
      <c r="I33" s="43">
        <f>BS!I33/BS!I$4</f>
        <v>0.67140358051617588</v>
      </c>
      <c r="J33" s="43">
        <f>BS!J33/BS!J$4</f>
        <v>0.59685507246376812</v>
      </c>
      <c r="K33" s="43">
        <f>BS!K33/BS!K$4</f>
        <v>0.48113992900245428</v>
      </c>
      <c r="L33" s="43">
        <f>BS!L33/BS!L$4</f>
        <v>0.41089028811032813</v>
      </c>
      <c r="M33" s="43">
        <f>BS!M33/BS!M$4</f>
        <v>0.39867759243485884</v>
      </c>
      <c r="N33" s="43">
        <f>BS!N33/BS!N$4</f>
        <v>0.35715484694353333</v>
      </c>
      <c r="O33" s="43">
        <f>BS!O33/BS!O$4</f>
        <v>0.2929714949757331</v>
      </c>
      <c r="P33" s="43">
        <f>BS!P33/BS!P$4</f>
        <v>0.26730789682023892</v>
      </c>
      <c r="Q33" s="43">
        <f>BS!Q33/BS!Q$4</f>
        <v>0.20173331522007609</v>
      </c>
      <c r="R33" s="43">
        <f>BS!R33/BS!R$4</f>
        <v>0.17974256556942697</v>
      </c>
      <c r="S33" s="43">
        <f>BS!S33/BS!S$4</f>
        <v>0.14364644016385308</v>
      </c>
      <c r="T33" s="43">
        <f>BS!T33/BS!T$4</f>
        <v>0.17563739376770537</v>
      </c>
      <c r="U33" s="43">
        <f>BS!U33/BS!U$4</f>
        <v>0.15616438356164383</v>
      </c>
      <c r="V33" s="43">
        <f>BS!V33/BS!V$4</f>
        <v>0.20524661717342957</v>
      </c>
    </row>
    <row r="34" spans="2:22" x14ac:dyDescent="0.55000000000000004">
      <c r="B34" s="11" t="s">
        <v>54</v>
      </c>
      <c r="C34" s="43">
        <f>BS!C34/BS!$C$4</f>
        <v>0.25312409183376933</v>
      </c>
      <c r="D34" s="43">
        <f>BS!D34/BS!D$4</f>
        <v>0.21178048684262438</v>
      </c>
      <c r="E34" s="43">
        <f>BS!E34/BS!E$4</f>
        <v>0.18136561204892346</v>
      </c>
      <c r="F34" s="43">
        <f>BS!F34/BS!F$4</f>
        <v>0.1728384665585988</v>
      </c>
      <c r="G34" s="43">
        <f>BS!G34/BS!G$4</f>
        <v>0.14189377917880369</v>
      </c>
      <c r="H34" s="43">
        <f>BS!H34/BS!H$4</f>
        <v>0.11455603200109993</v>
      </c>
      <c r="I34" s="43">
        <f>BS!I34/BS!I$4</f>
        <v>9.3272900763358785E-2</v>
      </c>
      <c r="J34" s="43">
        <f>BS!J34/BS!J$4</f>
        <v>9.5478260869565221E-2</v>
      </c>
      <c r="K34" s="43">
        <f>BS!K34/BS!K$4</f>
        <v>0.10055685195329517</v>
      </c>
      <c r="L34" s="43">
        <f>BS!L34/BS!L$4</f>
        <v>9.4382037944223174E-2</v>
      </c>
      <c r="M34" s="43">
        <f>BS!M34/BS!M$4</f>
        <v>9.7147528956808823E-2</v>
      </c>
      <c r="N34" s="43">
        <f>BS!N34/BS!N$4</f>
        <v>9.556404018981185E-2</v>
      </c>
      <c r="O34" s="43">
        <f>BS!O34/BS!O$4</f>
        <v>0.109921389021806</v>
      </c>
      <c r="P34" s="43">
        <f>BS!P34/BS!P$4</f>
        <v>0.13344716350187288</v>
      </c>
      <c r="Q34" s="43">
        <f>BS!Q34/BS!Q$4</f>
        <v>0.15677950402608312</v>
      </c>
      <c r="R34" s="43">
        <f>BS!R34/BS!R$4</f>
        <v>0</v>
      </c>
      <c r="S34" s="43">
        <f>BS!S34/BS!S$4</f>
        <v>0</v>
      </c>
      <c r="T34" s="43">
        <f>BS!T34/BS!T$4</f>
        <v>0.20963172804532579</v>
      </c>
      <c r="U34" s="43">
        <f>BS!U34/BS!U$4</f>
        <v>0.22739726027397261</v>
      </c>
      <c r="V34" s="43">
        <f>BS!V34/BS!V$4</f>
        <v>0.26046024813426083</v>
      </c>
    </row>
    <row r="35" spans="2:22" x14ac:dyDescent="0.55000000000000004">
      <c r="B35" s="11" t="s">
        <v>55</v>
      </c>
      <c r="C35" s="43">
        <f>BS!C35/BS!$C$4</f>
        <v>0.325893635571055</v>
      </c>
      <c r="D35" s="43">
        <f>BS!D35/BS!D$4</f>
        <v>0.35905629857576837</v>
      </c>
      <c r="E35" s="43">
        <f>BS!E35/BS!E$4</f>
        <v>0.34986859395532194</v>
      </c>
      <c r="F35" s="43">
        <f>BS!F35/BS!F$4</f>
        <v>0.49163175512094487</v>
      </c>
      <c r="G35" s="43">
        <f>BS!G35/BS!G$4</f>
        <v>0.49438037854302158</v>
      </c>
      <c r="H35" s="43">
        <f>BS!H35/BS!H$4</f>
        <v>0.54000567151609935</v>
      </c>
      <c r="I35" s="43">
        <f>BS!I35/BS!I$4</f>
        <v>0.57529648309705561</v>
      </c>
      <c r="J35" s="43">
        <f>BS!J35/BS!J$4</f>
        <v>0.50365217391304351</v>
      </c>
      <c r="K35" s="43">
        <f>BS!K35/BS!K$4</f>
        <v>0.37591604518653032</v>
      </c>
      <c r="L35" s="43">
        <f>BS!L35/BS!L$4</f>
        <v>0.31769594359661113</v>
      </c>
      <c r="M35" s="43">
        <f>BS!M35/BS!M$4</f>
        <v>0.2995591974782863</v>
      </c>
      <c r="N35" s="43">
        <f>BS!N35/BS!N$4</f>
        <v>0.26199046677626231</v>
      </c>
      <c r="O35" s="43">
        <f>BS!O35/BS!O$4</f>
        <v>0.19249436051678173</v>
      </c>
      <c r="P35" s="43">
        <f>BS!P35/BS!P$4</f>
        <v>0.1355859102671661</v>
      </c>
      <c r="Q35" s="43">
        <f>BS!Q35/BS!Q$4</f>
        <v>4.6207330929210096E-2</v>
      </c>
      <c r="R35" s="43">
        <f>BS!R35/BS!R$4</f>
        <v>1.584606355519342E-2</v>
      </c>
      <c r="S35" s="43">
        <f>BS!S35/BS!S$4</f>
        <v>-8.5044861164264157E-3</v>
      </c>
      <c r="T35" s="43">
        <f>BS!T35/BS!T$4</f>
        <v>0</v>
      </c>
      <c r="U35" s="43">
        <f>BS!U35/BS!U$4</f>
        <v>-5.2054794520547946E-2</v>
      </c>
      <c r="V35" s="43">
        <f>BS!V35/BS!V$4</f>
        <v>-3.9705935569715037E-2</v>
      </c>
    </row>
    <row r="36" spans="2:22" x14ac:dyDescent="0.55000000000000004">
      <c r="B36" s="11" t="s">
        <v>56</v>
      </c>
      <c r="C36" s="43">
        <f>BS!C36/BS!$C$4</f>
        <v>1.2786980528916012E-3</v>
      </c>
      <c r="D36" s="43">
        <f>BS!D36/BS!D$4</f>
        <v>2.4855012427506215E-3</v>
      </c>
      <c r="E36" s="43">
        <f>BS!E36/BS!E$4</f>
        <v>2.0216314565854644E-4</v>
      </c>
      <c r="F36" s="43">
        <f>BS!F36/BS!F$4</f>
        <v>1.6210185048735816E-3</v>
      </c>
      <c r="G36" s="43">
        <f>BS!G36/BS!G$4</f>
        <v>-6.1184044265325931E-4</v>
      </c>
      <c r="H36" s="43">
        <f>BS!H36/BS!H$4</f>
        <v>3.8067903515480663E-3</v>
      </c>
      <c r="I36" s="43">
        <f>BS!I36/BS!I$4</f>
        <v>2.8341966557615412E-3</v>
      </c>
      <c r="J36" s="43">
        <f>BS!J36/BS!J$4</f>
        <v>-2.2753623188405798E-3</v>
      </c>
      <c r="K36" s="43">
        <f>BS!K36/BS!K$4</f>
        <v>4.6670318626288072E-3</v>
      </c>
      <c r="L36" s="43">
        <f>BS!L36/BS!L$4</f>
        <v>-1.187693430506164E-3</v>
      </c>
      <c r="M36" s="43">
        <f>BS!M36/BS!M$4</f>
        <v>1.9708659997637449E-3</v>
      </c>
      <c r="N36" s="43">
        <f>BS!N36/BS!N$4</f>
        <v>-3.9966002254082525E-4</v>
      </c>
      <c r="O36" s="43">
        <f>BS!O36/BS!O$4</f>
        <v>-9.4442545628546041E-3</v>
      </c>
      <c r="P36" s="43">
        <f>BS!P36/BS!P$4</f>
        <v>-1.7251769488000565E-3</v>
      </c>
      <c r="Q36" s="43">
        <f>BS!Q36/BS!Q$4</f>
        <v>-1.2535197352171123E-3</v>
      </c>
      <c r="R36" s="43">
        <f>BS!R36/BS!R$4</f>
        <v>0</v>
      </c>
      <c r="S36" s="43">
        <f>BS!S36/BS!S$4</f>
        <v>0</v>
      </c>
      <c r="T36" s="43">
        <f>BS!T36/BS!T$4</f>
        <v>-3.1161473087818695E-2</v>
      </c>
      <c r="U36" s="43">
        <f>BS!U36/BS!U$4</f>
        <v>-1.9178082191780823E-2</v>
      </c>
      <c r="V36" s="43">
        <f>BS!V36/BS!V$4</f>
        <v>-1.550769539111627E-2</v>
      </c>
    </row>
    <row r="39" spans="2:22" ht="14.1" x14ac:dyDescent="0.55000000000000004">
      <c r="B39" s="27" t="s">
        <v>102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1"/>
      <c r="N39" s="21"/>
      <c r="O39" s="21"/>
      <c r="P39" s="21"/>
      <c r="Q39" s="21"/>
      <c r="R39" s="21"/>
    </row>
    <row r="40" spans="2:22" x14ac:dyDescent="0.55000000000000004">
      <c r="B40" s="11" t="s">
        <v>103</v>
      </c>
      <c r="C40" s="22">
        <f>C6+C7+C15</f>
        <v>0.58761987794245862</v>
      </c>
      <c r="D40" s="22">
        <f t="shared" ref="D40:L40" si="0">D6+D7+D15</f>
        <v>0.60701463684065171</v>
      </c>
      <c r="E40" s="22">
        <f t="shared" si="0"/>
        <v>0.61887192964722526</v>
      </c>
      <c r="F40" s="22">
        <f t="shared" si="0"/>
        <v>0.7156059872423739</v>
      </c>
      <c r="G40" s="22">
        <f t="shared" si="0"/>
        <v>0.6784911482649002</v>
      </c>
      <c r="H40" s="22">
        <f t="shared" si="0"/>
        <v>0.70094783064509203</v>
      </c>
      <c r="I40" s="22">
        <f t="shared" si="0"/>
        <v>0.68867570883315166</v>
      </c>
      <c r="J40" s="22">
        <f t="shared" si="0"/>
        <v>0.70899033816425117</v>
      </c>
      <c r="K40" s="22">
        <f t="shared" si="0"/>
        <v>0.66959829881943933</v>
      </c>
      <c r="L40" s="22">
        <f t="shared" si="0"/>
        <v>0.70802364370574122</v>
      </c>
      <c r="M40" s="22">
        <f t="shared" ref="M40:N40" si="1">M6+M7+M15</f>
        <v>0.73856182737203369</v>
      </c>
      <c r="N40" s="22">
        <f t="shared" si="1"/>
        <v>0.71644387840743473</v>
      </c>
      <c r="O40" s="22">
        <f t="shared" ref="O40:P40" si="2">O6+O7+O15</f>
        <v>0.64830131929728618</v>
      </c>
      <c r="P40" s="22">
        <f t="shared" si="2"/>
        <v>0.60823712911649674</v>
      </c>
      <c r="Q40" s="22">
        <f t="shared" ref="Q40:R40" si="3">Q6+Q7+Q15</f>
        <v>0.59227263745492276</v>
      </c>
      <c r="R40" s="22">
        <f t="shared" si="3"/>
        <v>0.54277753403114515</v>
      </c>
      <c r="S40" s="22">
        <f t="shared" ref="S40:T40" si="4">S6+S7+S15</f>
        <v>0.47939504755425155</v>
      </c>
      <c r="T40" s="22">
        <f t="shared" si="4"/>
        <v>0.46175637393767704</v>
      </c>
      <c r="U40" s="22">
        <f t="shared" ref="U40:V40" si="5">U6+U7+U15</f>
        <v>0.42739726027397262</v>
      </c>
      <c r="V40" s="22">
        <f t="shared" si="5"/>
        <v>0.36861048711032429</v>
      </c>
    </row>
    <row r="41" spans="2:22" x14ac:dyDescent="0.55000000000000004">
      <c r="B41" s="11" t="s">
        <v>104</v>
      </c>
      <c r="C41" s="22">
        <f>C8+C11</f>
        <v>7.2769543737285683E-2</v>
      </c>
      <c r="D41" s="22">
        <f t="shared" ref="D41:L41" si="6">D8+D11</f>
        <v>6.4583579910837574E-2</v>
      </c>
      <c r="E41" s="22">
        <f t="shared" si="6"/>
        <v>6.1204892348124935E-2</v>
      </c>
      <c r="F41" s="22">
        <f t="shared" si="6"/>
        <v>0.10646091661228185</v>
      </c>
      <c r="G41" s="22">
        <f t="shared" si="6"/>
        <v>0.13199792506284663</v>
      </c>
      <c r="H41" s="22">
        <f t="shared" si="6"/>
        <v>0.10068659717627243</v>
      </c>
      <c r="I41" s="22">
        <f t="shared" si="6"/>
        <v>0.10616593965830606</v>
      </c>
      <c r="J41" s="22">
        <f t="shared" si="6"/>
        <v>9.9714975845410628E-2</v>
      </c>
      <c r="K41" s="22">
        <f t="shared" si="6"/>
        <v>0.11740475071062247</v>
      </c>
      <c r="L41" s="22">
        <f t="shared" si="6"/>
        <v>0.10445849786043054</v>
      </c>
      <c r="M41" s="22">
        <f t="shared" ref="M41:N41" si="7">M8+M11</f>
        <v>9.1079499884981013E-2</v>
      </c>
      <c r="N41" s="22">
        <f t="shared" si="7"/>
        <v>9.504714656065906E-2</v>
      </c>
      <c r="O41" s="22">
        <f t="shared" ref="O41:P41" si="8">O8+O11</f>
        <v>0.13396677831704148</v>
      </c>
      <c r="P41" s="22">
        <f t="shared" si="8"/>
        <v>0.13530822767609213</v>
      </c>
      <c r="Q41" s="22">
        <f t="shared" ref="Q41:R41" si="9">Q8+Q11</f>
        <v>0.11561095193400189</v>
      </c>
      <c r="R41" s="22">
        <f t="shared" si="9"/>
        <v>0.14673990461592812</v>
      </c>
      <c r="S41" s="22">
        <f t="shared" ref="S41:T41" si="10">S8+S11</f>
        <v>0.17344615951581127</v>
      </c>
      <c r="T41" s="22">
        <f t="shared" si="10"/>
        <v>0.17563739376770537</v>
      </c>
      <c r="U41" s="22">
        <f t="shared" ref="U41:V41" si="11">U8+U11</f>
        <v>0.18082191780821918</v>
      </c>
      <c r="V41" s="22">
        <f t="shared" si="11"/>
        <v>0.20308650738640635</v>
      </c>
    </row>
    <row r="42" spans="2:22" x14ac:dyDescent="0.55000000000000004">
      <c r="B42" s="11" t="s">
        <v>105</v>
      </c>
      <c r="C42" s="22">
        <f>C27+C28+C29</f>
        <v>0</v>
      </c>
      <c r="D42" s="22">
        <f t="shared" ref="D42:L42" si="12">D27+D28+D29</f>
        <v>0</v>
      </c>
      <c r="E42" s="22">
        <f t="shared" si="12"/>
        <v>0</v>
      </c>
      <c r="F42" s="22">
        <f t="shared" si="12"/>
        <v>0</v>
      </c>
      <c r="G42" s="22">
        <f t="shared" si="12"/>
        <v>0</v>
      </c>
      <c r="H42" s="22">
        <f t="shared" si="12"/>
        <v>0</v>
      </c>
      <c r="I42" s="22">
        <f t="shared" si="12"/>
        <v>0</v>
      </c>
      <c r="J42" s="22">
        <f t="shared" si="12"/>
        <v>8.1932367149758462E-2</v>
      </c>
      <c r="K42" s="22">
        <f t="shared" si="12"/>
        <v>0.15223926949305336</v>
      </c>
      <c r="L42" s="22">
        <f t="shared" si="12"/>
        <v>0.2219162142530097</v>
      </c>
      <c r="M42" s="22">
        <f t="shared" ref="M42:N42" si="13">M27+M28+M29</f>
        <v>0.27054954210006033</v>
      </c>
      <c r="N42" s="22">
        <f t="shared" si="13"/>
        <v>0.30821780938348442</v>
      </c>
      <c r="O42" s="22">
        <f t="shared" ref="O42:P42" si="14">O27+O28+O29</f>
        <v>0.31303028231594776</v>
      </c>
      <c r="P42" s="22">
        <f t="shared" si="14"/>
        <v>0.31917841401883518</v>
      </c>
      <c r="Q42" s="22">
        <f t="shared" ref="Q42:R42" si="15">Q27+Q28+Q29</f>
        <v>0.34714469199229364</v>
      </c>
      <c r="R42" s="22">
        <f t="shared" si="15"/>
        <v>0.35528572486766458</v>
      </c>
      <c r="S42" s="22">
        <f t="shared" ref="S42:T42" si="16">S27+S28+S29</f>
        <v>0.34037504783773442</v>
      </c>
      <c r="T42" s="22">
        <f t="shared" si="16"/>
        <v>0.31444759206798867</v>
      </c>
      <c r="U42" s="22">
        <f t="shared" ref="U42:V42" si="17">U27+U28+U29</f>
        <v>0.29315068493150687</v>
      </c>
      <c r="V42" s="22">
        <f t="shared" si="17"/>
        <v>0.27462622584838592</v>
      </c>
    </row>
    <row r="43" spans="2:22" x14ac:dyDescent="0.55000000000000004">
      <c r="B43" s="11" t="s">
        <v>106</v>
      </c>
      <c r="C43" s="22">
        <f>C17+C18</f>
        <v>1.0287707061900613E-2</v>
      </c>
      <c r="D43" s="22">
        <f t="shared" ref="D43:L43" si="18">D17+D18</f>
        <v>1.3295459028681893E-2</v>
      </c>
      <c r="E43" s="22">
        <f t="shared" si="18"/>
        <v>1.2433033458000606E-2</v>
      </c>
      <c r="F43" s="22">
        <f t="shared" si="18"/>
        <v>9.536641333866655E-3</v>
      </c>
      <c r="G43" s="22">
        <f t="shared" si="18"/>
        <v>1.4404852160727823E-2</v>
      </c>
      <c r="H43" s="22">
        <f t="shared" si="18"/>
        <v>3.8085089927903E-2</v>
      </c>
      <c r="I43" s="22">
        <f t="shared" si="18"/>
        <v>3.0437795347146496E-2</v>
      </c>
      <c r="J43" s="22">
        <f t="shared" si="18"/>
        <v>2.7806763285024155E-2</v>
      </c>
      <c r="K43" s="22">
        <f t="shared" si="18"/>
        <v>3.7776215390853136E-2</v>
      </c>
      <c r="L43" s="22">
        <f t="shared" si="18"/>
        <v>3.1014290189652266E-2</v>
      </c>
      <c r="M43" s="22">
        <f t="shared" ref="M43:N43" si="19">M17+M18</f>
        <v>2.6796316905305175E-2</v>
      </c>
      <c r="N43" s="22">
        <f t="shared" si="19"/>
        <v>2.1355167204431428E-2</v>
      </c>
      <c r="O43" s="22">
        <f t="shared" ref="O43:T43" si="20">O17+O18</f>
        <v>0</v>
      </c>
      <c r="P43" s="22">
        <f t="shared" si="20"/>
        <v>0</v>
      </c>
      <c r="Q43" s="22">
        <f t="shared" si="20"/>
        <v>0</v>
      </c>
      <c r="R43" s="22">
        <f t="shared" si="20"/>
        <v>0</v>
      </c>
      <c r="S43" s="22">
        <f t="shared" si="20"/>
        <v>0</v>
      </c>
      <c r="T43" s="22">
        <f t="shared" si="20"/>
        <v>0</v>
      </c>
      <c r="U43" s="22">
        <f t="shared" ref="U43:V43" si="21">U17+U18</f>
        <v>0</v>
      </c>
      <c r="V43" s="22">
        <f t="shared" si="21"/>
        <v>0</v>
      </c>
    </row>
    <row r="45" spans="2:22" x14ac:dyDescent="0.55000000000000004">
      <c r="B45" s="10" t="s">
        <v>206</v>
      </c>
      <c r="C45" s="22">
        <f>-BS!C9/IS!C5</f>
        <v>1.9683604286651602E-2</v>
      </c>
      <c r="D45" s="22">
        <f>-BS!D9/IS!D5</f>
        <v>2.1826898814029775E-2</v>
      </c>
      <c r="E45" s="22">
        <f>-BS!E9/IS!E5</f>
        <v>2.0951675310776324E-2</v>
      </c>
      <c r="F45" s="22">
        <f>-BS!F9/IS!F5</f>
        <v>1.7715998909784682E-2</v>
      </c>
      <c r="G45" s="22">
        <f>-BS!G9/IS!G5</f>
        <v>2.6580005563845124E-2</v>
      </c>
      <c r="H45" s="22">
        <f>-BS!H9/IS!H5</f>
        <v>1.2043891915382347E-2</v>
      </c>
      <c r="I45" s="22">
        <f>-BS!I9/IS!I5</f>
        <v>9.0043940532295152E-3</v>
      </c>
      <c r="J45" s="22">
        <f>-BS!J9/IS!J5</f>
        <v>1.6546911055662909E-2</v>
      </c>
      <c r="K45" s="22">
        <f>-BS!K9/IS!K5</f>
        <v>1.8804895864882685E-2</v>
      </c>
      <c r="L45" s="22">
        <f>-BS!L9/IS!L5</f>
        <v>1.6767911827481104E-2</v>
      </c>
      <c r="M45" s="22">
        <f>-BS!M9/IS!M5</f>
        <v>1.6228230422603823E-2</v>
      </c>
      <c r="N45" s="22">
        <f>-BS!N9/IS!N5</f>
        <v>3.4420906358119223E-2</v>
      </c>
      <c r="O45" s="22">
        <f>-BS!O9/IS!O5</f>
        <v>2.4157893451232322E-2</v>
      </c>
      <c r="P45" s="22">
        <f>-BS!P9/IS!P5</f>
        <v>2.5379832119766101E-2</v>
      </c>
      <c r="Q45" s="22">
        <f>-BS!Q9/IS!Q5</f>
        <v>2.3950365359550363E-2</v>
      </c>
      <c r="R45" s="22">
        <f>-BS!R9/IS!R5</f>
        <v>3.0894774651259973E-2</v>
      </c>
      <c r="S45" s="22">
        <f>-BS!S9/IS!S5</f>
        <v>2.2080357142857141E-2</v>
      </c>
      <c r="T45" s="22">
        <f>-BS!T9/IS!T5</f>
        <v>2.8037383177570093E-2</v>
      </c>
      <c r="U45" s="22">
        <f>-BS!U9/IS!U5</f>
        <v>3.3333333333333333E-2</v>
      </c>
      <c r="V45" s="22">
        <f>-BS!V9/IS!V5</f>
        <v>2.5877986965966691E-2</v>
      </c>
    </row>
    <row r="46" spans="2:22" x14ac:dyDescent="0.55000000000000004">
      <c r="B46" s="10" t="s">
        <v>208</v>
      </c>
      <c r="C46" s="22">
        <f>-BS!C23/IS!C5</f>
        <v>0.24713858715462564</v>
      </c>
      <c r="D46" s="22">
        <f>-BS!D23/IS!D5</f>
        <v>0.31352510724198834</v>
      </c>
      <c r="E46" s="22">
        <f>-BS!E23/IS!E5</f>
        <v>0.22721659669054084</v>
      </c>
      <c r="F46" s="22">
        <f>-BS!F23/IS!F5</f>
        <v>0.21808199976638243</v>
      </c>
      <c r="G46" s="22">
        <f>-BS!G23/IS!G5</f>
        <v>0.30386181431931419</v>
      </c>
      <c r="H46" s="22">
        <f>-BS!H23/IS!H5</f>
        <v>0.22709565271375581</v>
      </c>
      <c r="I46" s="22">
        <f>-BS!I23/IS!I5</f>
        <v>0.24104683195592286</v>
      </c>
      <c r="J46" s="22">
        <f>-BS!J23/IS!J5</f>
        <v>0.2098099544115716</v>
      </c>
      <c r="K46" s="22">
        <f>-BS!K23/IS!K5</f>
        <v>0.26898751091236262</v>
      </c>
      <c r="L46" s="22">
        <f>-BS!L23/IS!L5</f>
        <v>0.25333894881111296</v>
      </c>
      <c r="M46" s="22">
        <f>-BS!M23/IS!M5</f>
        <v>0.28387224454999388</v>
      </c>
      <c r="N46" s="22">
        <f>-BS!N23/IS!N5</f>
        <v>0.34774686631501334</v>
      </c>
      <c r="O46" s="22">
        <f>-BS!O23/IS!O5</f>
        <v>0.34128825814015973</v>
      </c>
      <c r="P46" s="22">
        <f>-BS!P23/IS!P5</f>
        <v>0.28579199169252445</v>
      </c>
      <c r="Q46" s="22">
        <f>-BS!Q23/IS!Q5</f>
        <v>0.24944709511143615</v>
      </c>
      <c r="R46" s="22">
        <f>-BS!R23/IS!R5</f>
        <v>0.25712622252689205</v>
      </c>
      <c r="S46" s="22">
        <f>-BS!S23/IS!S5</f>
        <v>0.28622767857142856</v>
      </c>
      <c r="T46" s="22">
        <f>-BS!T23/IS!T5</f>
        <v>0.29439252336448596</v>
      </c>
      <c r="U46" s="22">
        <f>-BS!U23/IS!U5</f>
        <v>0.32857142857142857</v>
      </c>
      <c r="V46" s="22">
        <f>-BS!V23/IS!V5</f>
        <v>0.31616582186821141</v>
      </c>
    </row>
    <row r="47" spans="2:22" x14ac:dyDescent="0.55000000000000004">
      <c r="B47" s="10" t="s">
        <v>209</v>
      </c>
      <c r="C47" s="22">
        <f>-BS!C24/IS!C5</f>
        <v>0.2225705329153605</v>
      </c>
      <c r="D47" s="22">
        <f>-BS!D24/IS!D5</f>
        <v>0.27188998233661366</v>
      </c>
      <c r="E47" s="22">
        <f>-BS!E24/IS!E5</f>
        <v>0.3528443237013254</v>
      </c>
      <c r="F47" s="22">
        <f>-BS!F24/IS!F5</f>
        <v>0.22991862321379902</v>
      </c>
      <c r="G47" s="22">
        <f>-BS!G24/IS!G5</f>
        <v>0.22020181583672646</v>
      </c>
      <c r="H47" s="22">
        <f>-BS!H24/IS!H5</f>
        <v>0.20701215253527028</v>
      </c>
      <c r="I47" s="22">
        <f>-BS!I24/IS!I5</f>
        <v>0.19769824465541971</v>
      </c>
      <c r="J47" s="22">
        <f>-BS!J24/IS!J5</f>
        <v>0.19971671388101983</v>
      </c>
      <c r="K47" s="22">
        <f>-BS!K24/IS!K5</f>
        <v>0.24001852874628088</v>
      </c>
      <c r="L47" s="22">
        <f>-BS!L24/IS!L5</f>
        <v>0.24356658981076318</v>
      </c>
      <c r="M47" s="22">
        <f>-BS!M24/IS!M5</f>
        <v>0.22916666666666666</v>
      </c>
      <c r="N47" s="22">
        <f>-BS!N24/IS!N5</f>
        <v>0.23603312347569622</v>
      </c>
      <c r="O47" s="22">
        <f>-BS!O24/IS!O5</f>
        <v>0.24567038764991816</v>
      </c>
      <c r="P47" s="22">
        <f>-BS!P24/IS!P5</f>
        <v>0.2672856065569717</v>
      </c>
      <c r="Q47" s="22">
        <f>-(BS!Q24+BS!Q26)/IS!Q5</f>
        <v>0.29091348734068967</v>
      </c>
      <c r="R47" s="22">
        <f>-(BS!R24+BS!R26)/IS!R5</f>
        <v>0.25867565651396135</v>
      </c>
      <c r="S47" s="22">
        <f>-(BS!S24+BS!S26)/IS!S5</f>
        <v>0.30695089285714289</v>
      </c>
      <c r="T47" s="22">
        <f>-(BS!T24+BS!T26)/IS!T5</f>
        <v>0.31308411214953269</v>
      </c>
      <c r="U47" s="22">
        <f>-(BS!U24+BS!U26)/IS!U5</f>
        <v>0.40952380952380951</v>
      </c>
      <c r="V47" s="22">
        <f>-(BS!V24+BS!V26)/IS!V5</f>
        <v>0.34142831281679942</v>
      </c>
    </row>
    <row r="48" spans="2:22" x14ac:dyDescent="0.55000000000000004">
      <c r="B48" s="10" t="s">
        <v>210</v>
      </c>
      <c r="C48" s="22">
        <f>BS!C8/IS!C4</f>
        <v>6.4820088014496499E-2</v>
      </c>
      <c r="D48" s="22">
        <f>BS!D8/IS!D4</f>
        <v>6.8191285511955343E-2</v>
      </c>
      <c r="E48" s="22">
        <f>BS!E8/IS!E4</f>
        <v>6.4602171187751731E-2</v>
      </c>
      <c r="F48" s="22">
        <f>BS!F8/IS!F4</f>
        <v>7.8335858291574412E-2</v>
      </c>
      <c r="G48" s="22">
        <f>BS!G8/IS!G4</f>
        <v>8.4476811038712157E-2</v>
      </c>
      <c r="H48" s="22">
        <f>BS!H8/IS!H4</f>
        <v>4.9598610610721579E-2</v>
      </c>
      <c r="I48" s="22">
        <f>BS!I8/IS!I4</f>
        <v>6.9836685664630554E-2</v>
      </c>
      <c r="J48" s="22">
        <f>BS!J8/IS!J4</f>
        <v>7.6660230530688669E-2</v>
      </c>
      <c r="K48" s="22">
        <f>BS!K8/IS!K4</f>
        <v>9.55168357996663E-2</v>
      </c>
      <c r="L48" s="22">
        <f>BS!L8/IS!L4</f>
        <v>7.2092077958196943E-2</v>
      </c>
      <c r="M48" s="22">
        <f>BS!M8/IS!M4</f>
        <v>7.3057285555952298E-2</v>
      </c>
      <c r="N48" s="22">
        <f>BS!N8/IS!N4</f>
        <v>7.7972726558887415E-2</v>
      </c>
      <c r="O48" s="22">
        <f>BS!O8/IS!O4</f>
        <v>8.7298330164347959E-2</v>
      </c>
      <c r="P48" s="22">
        <f>BS!P8/IS!P4</f>
        <v>8.811795183223535E-2</v>
      </c>
      <c r="Q48" s="22">
        <f>BS!Q8/IS!Q4</f>
        <v>5.8721745624100694E-2</v>
      </c>
      <c r="R48" s="22">
        <f>BS!R8/IS!R4</f>
        <v>7.1833731073186857E-2</v>
      </c>
      <c r="S48" s="22">
        <f>BS!S8/IS!S4</f>
        <v>7.1532994923857868E-2</v>
      </c>
      <c r="T48" s="22">
        <f>BS!T8/IS!T4</f>
        <v>7.8328981723237601E-2</v>
      </c>
      <c r="U48" s="22">
        <f>BS!U8/IS!U4</f>
        <v>8.4398976982097182E-2</v>
      </c>
      <c r="V48" s="22">
        <f>BS!V8/IS!V4</f>
        <v>9.5580796855063307E-2</v>
      </c>
    </row>
    <row r="49" spans="2:22" x14ac:dyDescent="0.55000000000000004">
      <c r="B49" s="10" t="s">
        <v>207</v>
      </c>
      <c r="C49" s="22">
        <f>BS!C10/IS!C4</f>
        <v>0.14895159202692207</v>
      </c>
      <c r="D49" s="22">
        <f>BS!D10/IS!D4</f>
        <v>0.1910772306923269</v>
      </c>
      <c r="E49" s="22">
        <f>BS!E10/IS!E4</f>
        <v>0.1938865327678643</v>
      </c>
      <c r="F49" s="22">
        <f>BS!F10/IS!F4</f>
        <v>9.9638736743969239E-2</v>
      </c>
      <c r="G49" s="22">
        <f>BS!G10/IS!G4</f>
        <v>0.14560367957071677</v>
      </c>
      <c r="H49" s="22">
        <f>BS!H10/IS!H4</f>
        <v>0.11908655045312197</v>
      </c>
      <c r="I49" s="22">
        <f>BS!I10/IS!I4</f>
        <v>0.10736192399110589</v>
      </c>
      <c r="J49" s="22">
        <f>BS!J10/IS!J4</f>
        <v>0.10458135860979462</v>
      </c>
      <c r="K49" s="22">
        <f>BS!K10/IS!K4</f>
        <v>0.13065455838507617</v>
      </c>
      <c r="L49" s="22">
        <f>BS!L10/IS!L4</f>
        <v>0.12228141112038166</v>
      </c>
      <c r="M49" s="22">
        <f>BS!M10/IS!M4</f>
        <v>0.1012247320753667</v>
      </c>
      <c r="N49" s="22">
        <f>BS!N10/IS!N4</f>
        <v>0.13843932400952738</v>
      </c>
      <c r="O49" s="22">
        <f>BS!O10/IS!O4</f>
        <v>0.14268340894971665</v>
      </c>
      <c r="P49" s="22">
        <f>BS!P10/IS!P4</f>
        <v>0.13540937987654419</v>
      </c>
      <c r="Q49" s="22">
        <f>(BS!Q10+BS!Q11)/IS!Q4</f>
        <v>0.11871482432653953</v>
      </c>
      <c r="R49" s="22">
        <f>(BS!R10+BS!R11)/IS!R4</f>
        <v>0.10753737524499954</v>
      </c>
      <c r="S49" s="22">
        <f>(BS!S10+BS!S11)/IS!S4</f>
        <v>0.13762182741116752</v>
      </c>
      <c r="T49" s="22">
        <f>(BS!T10+BS!T11)/IS!T4</f>
        <v>0.12271540469973891</v>
      </c>
      <c r="U49" s="22">
        <f>(BS!U10+BS!U11)/IS!U4</f>
        <v>0.12020460358056266</v>
      </c>
      <c r="V49" s="22">
        <f>(BS!V10+BS!V11)/IS!V4</f>
        <v>7.9728758821706019E-2</v>
      </c>
    </row>
  </sheetData>
  <phoneticPr fontId="1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53"/>
  <sheetViews>
    <sheetView zoomScaleNormal="100" workbookViewId="0"/>
  </sheetViews>
  <sheetFormatPr defaultColWidth="9.1015625" defaultRowHeight="13.8" x14ac:dyDescent="0.55000000000000004"/>
  <cols>
    <col min="1" max="1" width="4.68359375" style="10" customWidth="1"/>
    <col min="2" max="16384" width="9.1015625" style="10"/>
  </cols>
  <sheetData>
    <row r="2" spans="2:2" ht="14.1" x14ac:dyDescent="0.55000000000000004">
      <c r="B2" s="18" t="s">
        <v>178</v>
      </c>
    </row>
    <row r="4" spans="2:2" ht="14.1" x14ac:dyDescent="0.55000000000000004">
      <c r="B4" s="16" t="s">
        <v>107</v>
      </c>
    </row>
    <row r="21" spans="2:2" ht="14.1" x14ac:dyDescent="0.55000000000000004">
      <c r="B21" s="16" t="s">
        <v>108</v>
      </c>
    </row>
    <row r="37" spans="2:2" x14ac:dyDescent="0.55000000000000004">
      <c r="B37" s="10" t="s">
        <v>110</v>
      </c>
    </row>
    <row r="53" spans="2:2" ht="14.1" x14ac:dyDescent="0.55000000000000004">
      <c r="B53" s="16" t="s">
        <v>109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B2:V49"/>
  <sheetViews>
    <sheetView workbookViewId="0">
      <pane ySplit="3" topLeftCell="A4" activePane="bottomLeft" state="frozen"/>
      <selection pane="bottomLeft"/>
    </sheetView>
  </sheetViews>
  <sheetFormatPr defaultColWidth="9.1015625" defaultRowHeight="13.8" outlineLevelCol="1" x14ac:dyDescent="0.55000000000000004"/>
  <cols>
    <col min="1" max="1" width="3.83984375" style="10" customWidth="1"/>
    <col min="2" max="2" width="42.68359375" style="10" customWidth="1"/>
    <col min="3" max="12" width="9.68359375" style="10" hidden="1" customWidth="1" outlineLevel="1"/>
    <col min="13" max="13" width="9.68359375" style="10" customWidth="1" collapsed="1"/>
    <col min="14" max="18" width="9.68359375" style="10" customWidth="1"/>
    <col min="19" max="16384" width="9.1015625" style="10"/>
  </cols>
  <sheetData>
    <row r="2" spans="2:22" ht="14.1" x14ac:dyDescent="0.55000000000000004">
      <c r="B2" s="15" t="s">
        <v>57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22" ht="14.1" x14ac:dyDescent="0.55000000000000004">
      <c r="B3" s="11"/>
      <c r="C3" s="12" t="s">
        <v>10</v>
      </c>
      <c r="D3" s="12" t="s">
        <v>9</v>
      </c>
      <c r="E3" s="12" t="s">
        <v>8</v>
      </c>
      <c r="F3" s="12" t="s">
        <v>7</v>
      </c>
      <c r="G3" s="12" t="s">
        <v>6</v>
      </c>
      <c r="H3" s="12" t="s">
        <v>5</v>
      </c>
      <c r="I3" s="12" t="s">
        <v>4</v>
      </c>
      <c r="J3" s="12" t="s">
        <v>3</v>
      </c>
      <c r="K3" s="12" t="s">
        <v>2</v>
      </c>
      <c r="L3" s="12" t="s">
        <v>1</v>
      </c>
      <c r="M3" s="12" t="s">
        <v>186</v>
      </c>
      <c r="N3" s="12" t="s">
        <v>187</v>
      </c>
      <c r="O3" s="12" t="s">
        <v>189</v>
      </c>
      <c r="P3" s="12" t="s">
        <v>191</v>
      </c>
      <c r="Q3" s="12" t="s">
        <v>205</v>
      </c>
      <c r="R3" s="12" t="s">
        <v>211</v>
      </c>
      <c r="S3" s="12" t="s">
        <v>336</v>
      </c>
      <c r="T3" s="12" t="s">
        <v>338</v>
      </c>
      <c r="U3" s="12" t="s">
        <v>344</v>
      </c>
      <c r="V3" s="12" t="s">
        <v>348</v>
      </c>
    </row>
    <row r="4" spans="2:22" x14ac:dyDescent="0.55000000000000004">
      <c r="B4" s="11" t="s">
        <v>58</v>
      </c>
      <c r="C4" s="11">
        <v>2220</v>
      </c>
      <c r="D4" s="11">
        <v>5470</v>
      </c>
      <c r="E4" s="11">
        <v>9596</v>
      </c>
      <c r="F4" s="11">
        <v>10159</v>
      </c>
      <c r="G4" s="11">
        <v>18595</v>
      </c>
      <c r="H4" s="11">
        <v>37529</v>
      </c>
      <c r="I4" s="11">
        <v>50856</v>
      </c>
      <c r="J4" s="11">
        <v>53666</v>
      </c>
      <c r="K4" s="11">
        <v>59713</v>
      </c>
      <c r="L4" s="11">
        <v>81266</v>
      </c>
      <c r="M4" s="11">
        <v>65824</v>
      </c>
      <c r="N4" s="11">
        <v>63598</v>
      </c>
      <c r="O4" s="11">
        <v>77434</v>
      </c>
      <c r="P4" s="11">
        <v>69391</v>
      </c>
      <c r="Q4" s="11">
        <v>80674</v>
      </c>
      <c r="R4" s="11">
        <v>104038</v>
      </c>
      <c r="S4" s="11">
        <v>122151</v>
      </c>
      <c r="T4" s="11">
        <v>110543</v>
      </c>
      <c r="U4" s="11">
        <v>118254</v>
      </c>
      <c r="V4" s="11">
        <v>111482</v>
      </c>
    </row>
    <row r="5" spans="2:22" x14ac:dyDescent="0.55000000000000004">
      <c r="B5" s="11" t="s">
        <v>59</v>
      </c>
      <c r="C5" s="11">
        <v>1989</v>
      </c>
      <c r="D5" s="11">
        <v>3496</v>
      </c>
      <c r="E5" s="11">
        <v>6119</v>
      </c>
      <c r="F5" s="11">
        <v>8235</v>
      </c>
      <c r="G5" s="11">
        <v>14013</v>
      </c>
      <c r="H5" s="11">
        <v>25922</v>
      </c>
      <c r="I5" s="11">
        <v>41733</v>
      </c>
      <c r="J5" s="11">
        <v>37037</v>
      </c>
      <c r="K5" s="11">
        <v>39510</v>
      </c>
      <c r="L5" s="11">
        <v>53394</v>
      </c>
      <c r="M5" s="11">
        <v>45687</v>
      </c>
      <c r="N5" s="11">
        <v>48351</v>
      </c>
      <c r="O5" s="11">
        <v>59531</v>
      </c>
      <c r="P5" s="11">
        <v>55256</v>
      </c>
      <c r="Q5" s="11">
        <v>57411</v>
      </c>
      <c r="R5" s="11">
        <v>94680</v>
      </c>
      <c r="S5" s="11">
        <v>99803</v>
      </c>
      <c r="T5" s="11">
        <v>96995</v>
      </c>
      <c r="U5" s="11">
        <v>93736</v>
      </c>
      <c r="V5" s="11">
        <v>112010</v>
      </c>
    </row>
    <row r="6" spans="2:22" x14ac:dyDescent="0.55000000000000004">
      <c r="B6" s="11" t="s">
        <v>60</v>
      </c>
      <c r="C6" s="11">
        <v>441</v>
      </c>
      <c r="D6" s="11">
        <v>637</v>
      </c>
      <c r="E6" s="11">
        <v>1410</v>
      </c>
      <c r="F6" s="11">
        <v>2484</v>
      </c>
      <c r="G6" s="11">
        <v>3346</v>
      </c>
      <c r="H6" s="11">
        <v>5850</v>
      </c>
      <c r="I6" s="11">
        <v>9422</v>
      </c>
      <c r="J6" s="11">
        <v>10151</v>
      </c>
      <c r="K6" s="11">
        <v>13156</v>
      </c>
      <c r="L6" s="11">
        <v>16225</v>
      </c>
      <c r="M6" s="11">
        <v>20137</v>
      </c>
      <c r="N6" s="11">
        <v>15247</v>
      </c>
      <c r="O6" s="11">
        <v>17903</v>
      </c>
      <c r="P6" s="11">
        <v>14135</v>
      </c>
      <c r="Q6" s="11"/>
      <c r="R6" s="11"/>
      <c r="S6" s="11"/>
      <c r="T6" s="11"/>
      <c r="U6" s="11"/>
      <c r="V6" s="11"/>
    </row>
    <row r="7" spans="2:22" x14ac:dyDescent="0.55000000000000004">
      <c r="B7" s="11" t="s">
        <v>61</v>
      </c>
      <c r="C7" s="11">
        <v>225</v>
      </c>
      <c r="D7" s="11">
        <v>317</v>
      </c>
      <c r="E7" s="11">
        <v>496</v>
      </c>
      <c r="F7" s="11">
        <v>734</v>
      </c>
      <c r="G7" s="11">
        <v>1027</v>
      </c>
      <c r="H7" s="11">
        <v>1814</v>
      </c>
      <c r="I7" s="11">
        <v>3277</v>
      </c>
      <c r="J7" s="11">
        <v>6757</v>
      </c>
      <c r="K7" s="11">
        <v>7946</v>
      </c>
      <c r="L7" s="11">
        <v>11257</v>
      </c>
      <c r="M7" s="11">
        <v>10505</v>
      </c>
      <c r="N7" s="11">
        <v>10157</v>
      </c>
      <c r="O7" s="11">
        <v>10903</v>
      </c>
      <c r="P7" s="11">
        <v>12547</v>
      </c>
      <c r="Q7" s="11">
        <v>11056</v>
      </c>
      <c r="R7" s="11">
        <v>11284</v>
      </c>
      <c r="S7" s="11">
        <v>11104</v>
      </c>
      <c r="T7" s="11">
        <v>11519</v>
      </c>
      <c r="U7" s="11">
        <v>11445</v>
      </c>
      <c r="V7" s="11">
        <v>11698</v>
      </c>
    </row>
    <row r="8" spans="2:22" x14ac:dyDescent="0.55000000000000004">
      <c r="B8" s="11" t="s">
        <v>62</v>
      </c>
      <c r="C8" s="11">
        <v>163</v>
      </c>
      <c r="D8" s="11">
        <v>242</v>
      </c>
      <c r="E8" s="11">
        <v>516</v>
      </c>
      <c r="F8" s="11">
        <v>710</v>
      </c>
      <c r="G8" s="11">
        <v>879</v>
      </c>
      <c r="H8" s="11">
        <v>1168</v>
      </c>
      <c r="I8" s="11">
        <v>1740</v>
      </c>
      <c r="J8" s="11">
        <v>2253</v>
      </c>
      <c r="K8" s="11">
        <v>2863</v>
      </c>
      <c r="L8" s="11">
        <v>3586</v>
      </c>
      <c r="M8" s="11">
        <v>4210</v>
      </c>
      <c r="N8" s="11">
        <v>4840</v>
      </c>
      <c r="O8" s="11">
        <v>5340</v>
      </c>
      <c r="P8" s="11">
        <v>6068</v>
      </c>
      <c r="Q8" s="11"/>
      <c r="R8" s="11"/>
      <c r="S8" s="11"/>
      <c r="T8" s="11"/>
      <c r="U8" s="11"/>
      <c r="V8" s="11"/>
    </row>
    <row r="9" spans="2:22" x14ac:dyDescent="0.55000000000000004">
      <c r="B9" s="11" t="s">
        <v>63</v>
      </c>
      <c r="C9" s="11">
        <v>53</v>
      </c>
      <c r="D9" s="11">
        <v>78</v>
      </c>
      <c r="E9" s="11">
        <v>398</v>
      </c>
      <c r="F9" s="11">
        <v>1040</v>
      </c>
      <c r="G9" s="11">
        <v>1440</v>
      </c>
      <c r="H9" s="11">
        <v>2868</v>
      </c>
      <c r="I9" s="11">
        <v>4405</v>
      </c>
      <c r="J9" s="11">
        <v>1141</v>
      </c>
      <c r="K9" s="11">
        <v>2347</v>
      </c>
      <c r="L9" s="11">
        <v>1382</v>
      </c>
      <c r="M9" s="11">
        <v>4938</v>
      </c>
      <c r="N9" s="11">
        <v>5966</v>
      </c>
      <c r="O9" s="11">
        <v>-32590</v>
      </c>
      <c r="P9" s="11">
        <v>-340</v>
      </c>
      <c r="Q9" s="11"/>
      <c r="R9" s="11"/>
      <c r="S9" s="11"/>
      <c r="T9" s="11"/>
      <c r="U9" s="11"/>
      <c r="V9" s="11"/>
    </row>
    <row r="10" spans="2:22" x14ac:dyDescent="0.55000000000000004">
      <c r="B10" s="11" t="s">
        <v>64</v>
      </c>
      <c r="C10" s="11" t="s">
        <v>31</v>
      </c>
      <c r="D10" s="11" t="s">
        <v>31</v>
      </c>
      <c r="E10" s="11" t="s">
        <v>31</v>
      </c>
      <c r="F10" s="11" t="s">
        <v>31</v>
      </c>
      <c r="G10" s="11" t="s">
        <v>31</v>
      </c>
      <c r="H10" s="11" t="s">
        <v>31</v>
      </c>
      <c r="I10" s="11" t="s">
        <v>31</v>
      </c>
      <c r="J10" s="11" t="s">
        <v>31</v>
      </c>
      <c r="K10" s="11" t="s">
        <v>31</v>
      </c>
      <c r="L10" s="11" t="s">
        <v>31</v>
      </c>
      <c r="M10" s="11" t="s">
        <v>31</v>
      </c>
      <c r="N10" s="11" t="s">
        <v>31</v>
      </c>
      <c r="O10" s="11"/>
      <c r="P10" s="11" t="s">
        <v>190</v>
      </c>
      <c r="Q10" s="11"/>
      <c r="R10" s="11"/>
      <c r="S10" s="11"/>
      <c r="T10" s="11"/>
      <c r="U10" s="11"/>
      <c r="V10" s="11"/>
    </row>
    <row r="11" spans="2:22" x14ac:dyDescent="0.55000000000000004">
      <c r="B11" s="11" t="s">
        <v>65</v>
      </c>
      <c r="C11" s="11" t="s">
        <v>31</v>
      </c>
      <c r="D11" s="11" t="s">
        <v>31</v>
      </c>
      <c r="E11" s="11" t="s">
        <v>31</v>
      </c>
      <c r="F11" s="11" t="s">
        <v>31</v>
      </c>
      <c r="G11" s="11" t="s">
        <v>31</v>
      </c>
      <c r="H11" s="11" t="s">
        <v>31</v>
      </c>
      <c r="I11" s="11" t="s">
        <v>31</v>
      </c>
      <c r="J11" s="11" t="s">
        <v>31</v>
      </c>
      <c r="K11" s="11" t="s">
        <v>31</v>
      </c>
      <c r="L11" s="11" t="s">
        <v>31</v>
      </c>
      <c r="M11" s="11" t="s">
        <v>31</v>
      </c>
      <c r="N11" s="11" t="s">
        <v>31</v>
      </c>
      <c r="O11" s="11"/>
      <c r="P11" s="11" t="s">
        <v>190</v>
      </c>
      <c r="Q11" s="11"/>
      <c r="R11" s="11"/>
      <c r="S11" s="11"/>
      <c r="T11" s="11"/>
      <c r="U11" s="11"/>
      <c r="V11" s="11"/>
    </row>
    <row r="12" spans="2:22" x14ac:dyDescent="0.55000000000000004">
      <c r="B12" s="11" t="s">
        <v>66</v>
      </c>
      <c r="C12" s="11">
        <v>-210</v>
      </c>
      <c r="D12" s="11">
        <v>1337</v>
      </c>
      <c r="E12" s="11">
        <v>2067</v>
      </c>
      <c r="F12" s="11">
        <v>-560</v>
      </c>
      <c r="G12" s="11">
        <v>1236</v>
      </c>
      <c r="H12" s="11">
        <v>5757</v>
      </c>
      <c r="I12" s="11">
        <v>-299</v>
      </c>
      <c r="J12" s="11">
        <v>6478</v>
      </c>
      <c r="K12" s="11">
        <v>7047</v>
      </c>
      <c r="L12" s="11">
        <v>11647</v>
      </c>
      <c r="M12" s="11">
        <v>484</v>
      </c>
      <c r="N12" s="11">
        <v>-5550</v>
      </c>
      <c r="O12" s="11">
        <v>34694</v>
      </c>
      <c r="P12" s="11">
        <v>-3488</v>
      </c>
      <c r="Q12" s="11"/>
      <c r="R12" s="11"/>
      <c r="S12" s="11"/>
      <c r="T12" s="11"/>
      <c r="U12" s="11"/>
      <c r="V12" s="11"/>
    </row>
    <row r="13" spans="2:22" x14ac:dyDescent="0.55000000000000004">
      <c r="B13" s="11" t="s">
        <v>67</v>
      </c>
      <c r="C13" s="11">
        <v>-357</v>
      </c>
      <c r="D13" s="11">
        <v>-385</v>
      </c>
      <c r="E13" s="11">
        <v>-785</v>
      </c>
      <c r="F13" s="11">
        <v>-939</v>
      </c>
      <c r="G13" s="11">
        <v>-2142</v>
      </c>
      <c r="H13" s="11">
        <v>143</v>
      </c>
      <c r="I13" s="11">
        <v>-5551</v>
      </c>
      <c r="J13" s="11">
        <v>-2172</v>
      </c>
      <c r="K13" s="11">
        <v>-4232</v>
      </c>
      <c r="L13" s="11">
        <v>611</v>
      </c>
      <c r="M13" s="11">
        <v>1095</v>
      </c>
      <c r="N13" s="11">
        <v>-2093</v>
      </c>
      <c r="O13" s="11">
        <v>-5322</v>
      </c>
      <c r="P13" s="11">
        <v>245</v>
      </c>
      <c r="Q13" s="11"/>
      <c r="R13" s="11"/>
      <c r="S13" s="11"/>
      <c r="T13" s="11"/>
      <c r="U13" s="11"/>
      <c r="V13" s="11"/>
    </row>
    <row r="14" spans="2:22" x14ac:dyDescent="0.55000000000000004">
      <c r="B14" s="11" t="s">
        <v>28</v>
      </c>
      <c r="C14" s="11">
        <v>-105</v>
      </c>
      <c r="D14" s="11">
        <v>-76</v>
      </c>
      <c r="E14" s="11">
        <v>-163</v>
      </c>
      <c r="F14" s="11">
        <v>54</v>
      </c>
      <c r="G14" s="11">
        <v>-596</v>
      </c>
      <c r="H14" s="11">
        <v>275</v>
      </c>
      <c r="I14" s="11">
        <v>-15</v>
      </c>
      <c r="J14" s="11">
        <v>-973</v>
      </c>
      <c r="K14" s="11">
        <v>-76</v>
      </c>
      <c r="L14" s="11">
        <v>-238</v>
      </c>
      <c r="M14" s="11">
        <v>217</v>
      </c>
      <c r="N14" s="11">
        <v>-2723</v>
      </c>
      <c r="O14" s="11">
        <v>828</v>
      </c>
      <c r="P14" s="11">
        <v>-289</v>
      </c>
      <c r="Q14" s="11"/>
      <c r="R14" s="11"/>
      <c r="S14" s="11"/>
      <c r="T14" s="11"/>
      <c r="U14" s="11"/>
      <c r="V14" s="11"/>
    </row>
    <row r="15" spans="2:22" x14ac:dyDescent="0.55000000000000004">
      <c r="B15" s="11" t="s">
        <v>68</v>
      </c>
      <c r="C15" s="11" t="s">
        <v>31</v>
      </c>
      <c r="D15" s="11" t="s">
        <v>31</v>
      </c>
      <c r="E15" s="11">
        <v>110</v>
      </c>
      <c r="F15" s="11">
        <v>586</v>
      </c>
      <c r="G15" s="11">
        <v>-2718</v>
      </c>
      <c r="H15" s="11">
        <v>-1934</v>
      </c>
      <c r="I15" s="11">
        <v>-1414</v>
      </c>
      <c r="J15" s="11">
        <v>223</v>
      </c>
      <c r="K15" s="11">
        <v>-2220</v>
      </c>
      <c r="L15" s="11">
        <v>-3735</v>
      </c>
      <c r="M15" s="11">
        <v>-51</v>
      </c>
      <c r="N15" s="11">
        <v>-4254</v>
      </c>
      <c r="O15" s="11">
        <v>-8010</v>
      </c>
      <c r="P15" s="11">
        <v>2931</v>
      </c>
      <c r="Q15" s="11"/>
      <c r="R15" s="11"/>
      <c r="S15" s="11"/>
      <c r="T15" s="11"/>
      <c r="U15" s="11"/>
      <c r="V15" s="11"/>
    </row>
    <row r="16" spans="2:22" x14ac:dyDescent="0.55000000000000004">
      <c r="B16" s="11" t="s">
        <v>69</v>
      </c>
      <c r="C16" s="11">
        <v>-2651</v>
      </c>
      <c r="D16" s="11">
        <v>-1447</v>
      </c>
      <c r="E16" s="11">
        <v>-73</v>
      </c>
      <c r="F16" s="11">
        <v>-713</v>
      </c>
      <c r="G16" s="11">
        <v>-1610</v>
      </c>
      <c r="H16" s="11">
        <v>-1391</v>
      </c>
      <c r="I16" s="11">
        <v>-3162</v>
      </c>
      <c r="J16" s="11">
        <v>1080</v>
      </c>
      <c r="K16" s="11">
        <v>167</v>
      </c>
      <c r="L16" s="11">
        <v>-179</v>
      </c>
      <c r="M16" s="11">
        <v>1090</v>
      </c>
      <c r="N16" s="11">
        <v>-5318</v>
      </c>
      <c r="O16" s="11">
        <v>-423</v>
      </c>
      <c r="P16" s="11">
        <v>873</v>
      </c>
      <c r="Q16" s="11"/>
      <c r="R16" s="11"/>
      <c r="S16" s="11"/>
      <c r="U16" s="11"/>
      <c r="V16" s="11"/>
    </row>
    <row r="17" spans="2:22" x14ac:dyDescent="0.55000000000000004">
      <c r="B17" s="11" t="s">
        <v>70</v>
      </c>
      <c r="C17" s="11">
        <v>15</v>
      </c>
      <c r="D17" s="11">
        <v>12</v>
      </c>
      <c r="E17" s="11">
        <v>22</v>
      </c>
      <c r="F17" s="11" t="s">
        <v>31</v>
      </c>
      <c r="G17" s="11" t="s">
        <v>31</v>
      </c>
      <c r="H17" s="11" t="s">
        <v>31</v>
      </c>
      <c r="I17" s="11" t="s">
        <v>31</v>
      </c>
      <c r="J17" s="11" t="s">
        <v>31</v>
      </c>
      <c r="K17" s="11" t="s">
        <v>31</v>
      </c>
      <c r="L17" s="11" t="s">
        <v>31</v>
      </c>
      <c r="M17" s="11" t="s">
        <v>31</v>
      </c>
      <c r="N17" s="11"/>
      <c r="O17" s="11" t="s">
        <v>190</v>
      </c>
      <c r="P17" s="11">
        <v>0</v>
      </c>
      <c r="Q17" s="11"/>
      <c r="R17" s="11"/>
      <c r="S17" s="11"/>
      <c r="U17" s="11"/>
      <c r="V17" s="11"/>
    </row>
    <row r="18" spans="2:22" x14ac:dyDescent="0.55000000000000004">
      <c r="B18" s="11" t="s">
        <v>71</v>
      </c>
      <c r="C18" s="11">
        <v>-1626</v>
      </c>
      <c r="D18" s="11">
        <v>-1540</v>
      </c>
      <c r="E18" s="11">
        <v>-384</v>
      </c>
      <c r="F18" s="11" t="s">
        <v>31</v>
      </c>
      <c r="G18" s="11" t="s">
        <v>31</v>
      </c>
      <c r="H18" s="11" t="s">
        <v>31</v>
      </c>
      <c r="I18" s="11" t="s">
        <v>31</v>
      </c>
      <c r="J18" s="11" t="s">
        <v>31</v>
      </c>
      <c r="K18" s="11" t="s">
        <v>31</v>
      </c>
      <c r="L18" s="11" t="s">
        <v>31</v>
      </c>
      <c r="M18" s="11" t="s">
        <v>31</v>
      </c>
      <c r="N18" s="11" t="s">
        <v>31</v>
      </c>
      <c r="O18" s="11" t="s">
        <v>190</v>
      </c>
      <c r="P18" s="11">
        <v>0</v>
      </c>
      <c r="Q18" s="11"/>
      <c r="R18" s="11"/>
      <c r="S18" s="11"/>
      <c r="U18" s="11"/>
      <c r="V18" s="11"/>
    </row>
    <row r="19" spans="2:22" x14ac:dyDescent="0.55000000000000004">
      <c r="B19" s="11" t="s">
        <v>72</v>
      </c>
      <c r="C19" s="11">
        <v>-1040</v>
      </c>
      <c r="D19" s="11">
        <v>81</v>
      </c>
      <c r="E19" s="11">
        <v>289</v>
      </c>
      <c r="F19" s="11" t="s">
        <v>31</v>
      </c>
      <c r="G19" s="11" t="s">
        <v>31</v>
      </c>
      <c r="H19" s="11" t="s">
        <v>31</v>
      </c>
      <c r="I19" s="11" t="s">
        <v>31</v>
      </c>
      <c r="J19" s="11" t="s">
        <v>31</v>
      </c>
      <c r="K19" s="11" t="s">
        <v>31</v>
      </c>
      <c r="L19" s="11" t="s">
        <v>31</v>
      </c>
      <c r="M19" s="11" t="s">
        <v>31</v>
      </c>
      <c r="N19" s="11" t="s">
        <v>31</v>
      </c>
      <c r="O19" s="11" t="s">
        <v>190</v>
      </c>
      <c r="P19" s="11">
        <v>0</v>
      </c>
      <c r="Q19" s="11"/>
      <c r="R19" s="11"/>
      <c r="S19" s="11"/>
      <c r="U19" s="11"/>
      <c r="V19" s="11"/>
    </row>
    <row r="20" spans="2:22" x14ac:dyDescent="0.55000000000000004">
      <c r="B20" s="11" t="s">
        <v>73</v>
      </c>
      <c r="C20" s="11">
        <v>1611</v>
      </c>
      <c r="D20" s="11">
        <v>1494</v>
      </c>
      <c r="E20" s="11">
        <v>596</v>
      </c>
      <c r="F20" s="11">
        <v>92</v>
      </c>
      <c r="G20" s="11">
        <v>6307</v>
      </c>
      <c r="H20" s="11">
        <v>2515</v>
      </c>
      <c r="I20" s="11">
        <v>4467</v>
      </c>
      <c r="J20" s="11">
        <v>2340</v>
      </c>
      <c r="K20" s="11">
        <v>5938</v>
      </c>
      <c r="L20" s="11">
        <v>5400</v>
      </c>
      <c r="M20" s="11">
        <v>1791</v>
      </c>
      <c r="N20" s="11">
        <v>9618</v>
      </c>
      <c r="O20" s="11">
        <v>9175</v>
      </c>
      <c r="P20" s="11">
        <v>-1923</v>
      </c>
      <c r="Q20" s="11"/>
      <c r="R20" s="11"/>
      <c r="S20" s="11"/>
      <c r="U20" s="11"/>
      <c r="V20" s="11"/>
    </row>
    <row r="21" spans="2:22" x14ac:dyDescent="0.55000000000000004">
      <c r="B21" s="11" t="s">
        <v>74</v>
      </c>
      <c r="C21" s="11">
        <v>1292</v>
      </c>
      <c r="D21" s="11">
        <v>1751</v>
      </c>
      <c r="E21" s="11">
        <v>2382</v>
      </c>
      <c r="F21" s="11">
        <v>360</v>
      </c>
      <c r="G21" s="11">
        <v>1995</v>
      </c>
      <c r="H21" s="11">
        <v>6149</v>
      </c>
      <c r="I21" s="11">
        <v>5376</v>
      </c>
      <c r="J21" s="11">
        <v>5980</v>
      </c>
      <c r="K21" s="11">
        <v>7470</v>
      </c>
      <c r="L21" s="11">
        <v>9788</v>
      </c>
      <c r="M21" s="11">
        <v>-3658</v>
      </c>
      <c r="N21" s="11">
        <v>-780</v>
      </c>
      <c r="O21" s="11">
        <v>38446</v>
      </c>
      <c r="P21" s="11">
        <v>-5325</v>
      </c>
      <c r="Q21" s="11"/>
      <c r="R21" s="11"/>
      <c r="S21" s="11"/>
      <c r="U21" s="11"/>
      <c r="V21" s="11"/>
    </row>
    <row r="22" spans="2:22" x14ac:dyDescent="0.55000000000000004">
      <c r="B22" s="11" t="s">
        <v>75</v>
      </c>
      <c r="C22" s="11">
        <v>319</v>
      </c>
      <c r="D22" s="11">
        <v>1139</v>
      </c>
      <c r="E22" s="11">
        <v>718</v>
      </c>
      <c r="F22" s="11">
        <v>521</v>
      </c>
      <c r="G22" s="11">
        <v>1217</v>
      </c>
      <c r="H22" s="11">
        <v>1654</v>
      </c>
      <c r="I22" s="11">
        <v>2824</v>
      </c>
      <c r="J22" s="11">
        <v>1459</v>
      </c>
      <c r="K22" s="11">
        <v>1460</v>
      </c>
      <c r="L22" s="11">
        <v>1042</v>
      </c>
      <c r="M22" s="11">
        <v>-1554</v>
      </c>
      <c r="N22" s="11">
        <v>-626</v>
      </c>
      <c r="O22" s="11">
        <v>-44</v>
      </c>
      <c r="P22" s="11">
        <v>-625</v>
      </c>
      <c r="Q22" s="11"/>
      <c r="R22" s="11"/>
      <c r="S22" s="11"/>
      <c r="U22" s="11"/>
      <c r="V22" s="11"/>
    </row>
    <row r="23" spans="2:22" x14ac:dyDescent="0.55000000000000004">
      <c r="B23" s="11" t="s">
        <v>76</v>
      </c>
      <c r="C23" s="11">
        <v>973</v>
      </c>
      <c r="D23" s="11">
        <v>612</v>
      </c>
      <c r="E23" s="11">
        <v>1664</v>
      </c>
      <c r="F23" s="11">
        <v>-161</v>
      </c>
      <c r="G23" s="11">
        <v>778</v>
      </c>
      <c r="H23" s="11">
        <v>4495</v>
      </c>
      <c r="I23" s="11">
        <v>2552</v>
      </c>
      <c r="J23" s="11">
        <v>4521</v>
      </c>
      <c r="K23" s="11">
        <v>6010</v>
      </c>
      <c r="L23" s="11">
        <v>8746</v>
      </c>
      <c r="M23" s="11">
        <v>-2104</v>
      </c>
      <c r="N23" s="11">
        <v>-154</v>
      </c>
      <c r="O23" s="11">
        <v>38490</v>
      </c>
      <c r="P23" s="11">
        <v>-4700</v>
      </c>
      <c r="Q23" s="11"/>
      <c r="R23" s="11"/>
      <c r="S23" s="11"/>
      <c r="U23" s="11"/>
      <c r="V23" s="11"/>
    </row>
    <row r="24" spans="2:22" x14ac:dyDescent="0.55000000000000004">
      <c r="B24" s="11" t="s">
        <v>77</v>
      </c>
      <c r="C24" s="11">
        <v>357</v>
      </c>
      <c r="D24" s="11">
        <v>-3249</v>
      </c>
      <c r="E24" s="11">
        <v>-8189</v>
      </c>
      <c r="F24" s="11">
        <v>-17434</v>
      </c>
      <c r="G24" s="11">
        <v>-13854</v>
      </c>
      <c r="H24" s="11">
        <v>-40419</v>
      </c>
      <c r="I24" s="11">
        <v>-48227</v>
      </c>
      <c r="J24" s="11">
        <v>-33774</v>
      </c>
      <c r="K24" s="11">
        <v>-22579</v>
      </c>
      <c r="L24" s="11">
        <v>-56274</v>
      </c>
      <c r="M24" s="11">
        <v>-45977</v>
      </c>
      <c r="N24" s="11">
        <v>-46446</v>
      </c>
      <c r="O24" s="11">
        <v>16066</v>
      </c>
      <c r="P24" s="11">
        <v>45896</v>
      </c>
      <c r="Q24" s="11">
        <v>-4289</v>
      </c>
      <c r="R24" s="11">
        <v>-14545</v>
      </c>
      <c r="S24" s="11">
        <v>-22354</v>
      </c>
      <c r="T24" s="11">
        <v>3705</v>
      </c>
      <c r="U24" s="11">
        <v>2935</v>
      </c>
      <c r="V24" s="11">
        <v>15195</v>
      </c>
    </row>
    <row r="25" spans="2:22" x14ac:dyDescent="0.55000000000000004">
      <c r="B25" s="11" t="s">
        <v>78</v>
      </c>
      <c r="C25" s="11">
        <v>-7255</v>
      </c>
      <c r="D25" s="11">
        <v>-11719</v>
      </c>
      <c r="E25" s="11">
        <v>-22965</v>
      </c>
      <c r="F25" s="11">
        <v>-46724</v>
      </c>
      <c r="G25" s="11">
        <v>-57793</v>
      </c>
      <c r="H25" s="11">
        <v>-102317</v>
      </c>
      <c r="I25" s="11">
        <v>-151232</v>
      </c>
      <c r="J25" s="11">
        <v>-148489</v>
      </c>
      <c r="K25" s="11">
        <v>-217128</v>
      </c>
      <c r="L25" s="11">
        <v>-166402</v>
      </c>
      <c r="M25" s="11">
        <v>-142428</v>
      </c>
      <c r="N25" s="11">
        <v>-159486</v>
      </c>
      <c r="O25" s="11">
        <v>-71356</v>
      </c>
      <c r="P25" s="11">
        <v>-39630</v>
      </c>
      <c r="R25" s="11"/>
      <c r="S25" s="11"/>
      <c r="T25" s="11"/>
      <c r="U25" s="11"/>
      <c r="V25" s="11"/>
    </row>
    <row r="26" spans="2:22" x14ac:dyDescent="0.55000000000000004">
      <c r="B26" s="11" t="s">
        <v>79</v>
      </c>
      <c r="C26" s="11">
        <v>7226</v>
      </c>
      <c r="D26" s="11">
        <v>6483</v>
      </c>
      <c r="E26" s="11">
        <v>11804</v>
      </c>
      <c r="F26" s="11">
        <v>19790</v>
      </c>
      <c r="G26" s="11">
        <v>24930</v>
      </c>
      <c r="H26" s="11">
        <v>20437</v>
      </c>
      <c r="I26" s="11">
        <v>13035</v>
      </c>
      <c r="J26" s="11">
        <v>20317</v>
      </c>
      <c r="K26" s="11">
        <v>18810</v>
      </c>
      <c r="L26" s="11">
        <v>14538</v>
      </c>
      <c r="M26" s="11">
        <v>21258</v>
      </c>
      <c r="N26" s="11">
        <v>31775</v>
      </c>
      <c r="O26" s="11">
        <v>55881</v>
      </c>
      <c r="P26" s="11">
        <v>40102</v>
      </c>
      <c r="R26" s="11"/>
      <c r="S26" s="11"/>
      <c r="T26" s="11"/>
      <c r="U26" s="11"/>
      <c r="V26" s="11"/>
    </row>
    <row r="27" spans="2:22" x14ac:dyDescent="0.55000000000000004">
      <c r="B27" s="11" t="s">
        <v>80</v>
      </c>
      <c r="C27" s="11">
        <v>1086</v>
      </c>
      <c r="D27" s="11">
        <v>2941</v>
      </c>
      <c r="E27" s="11">
        <v>4439</v>
      </c>
      <c r="F27" s="11">
        <v>10888</v>
      </c>
      <c r="G27" s="11">
        <v>21788</v>
      </c>
      <c r="H27" s="11">
        <v>49416</v>
      </c>
      <c r="I27" s="11">
        <v>99770</v>
      </c>
      <c r="J27" s="11">
        <v>104130</v>
      </c>
      <c r="K27" s="11">
        <v>189301</v>
      </c>
      <c r="L27" s="11">
        <v>107447</v>
      </c>
      <c r="M27" s="11">
        <v>90536</v>
      </c>
      <c r="N27" s="11">
        <v>94564</v>
      </c>
      <c r="O27" s="11">
        <v>47838</v>
      </c>
      <c r="P27" s="11">
        <v>56988</v>
      </c>
      <c r="R27" s="11"/>
      <c r="S27" s="11"/>
      <c r="T27" s="11"/>
      <c r="U27" s="11"/>
      <c r="V27" s="11"/>
    </row>
    <row r="28" spans="2:22" x14ac:dyDescent="0.55000000000000004">
      <c r="B28" s="11" t="s">
        <v>81</v>
      </c>
      <c r="C28" s="11" t="s">
        <v>31</v>
      </c>
      <c r="D28" s="11" t="s">
        <v>31</v>
      </c>
      <c r="E28" s="11" t="s">
        <v>31</v>
      </c>
      <c r="F28" s="11" t="s">
        <v>31</v>
      </c>
      <c r="G28" s="11" t="s">
        <v>31</v>
      </c>
      <c r="H28" s="11" t="s">
        <v>31</v>
      </c>
      <c r="I28" s="11" t="s">
        <v>31</v>
      </c>
      <c r="J28" s="11" t="s">
        <v>31</v>
      </c>
      <c r="K28" s="11" t="s">
        <v>31</v>
      </c>
      <c r="L28" s="11" t="s">
        <v>31</v>
      </c>
      <c r="M28" s="11" t="s">
        <v>31</v>
      </c>
      <c r="N28" s="11" t="s">
        <v>31</v>
      </c>
      <c r="O28" s="11" t="s">
        <v>190</v>
      </c>
      <c r="P28" s="11">
        <v>0</v>
      </c>
      <c r="R28" s="11"/>
      <c r="S28" s="11"/>
      <c r="T28" s="11"/>
      <c r="U28" s="11"/>
      <c r="V28" s="11"/>
    </row>
    <row r="29" spans="2:22" x14ac:dyDescent="0.55000000000000004">
      <c r="B29" s="11" t="s">
        <v>82</v>
      </c>
      <c r="C29" s="11">
        <v>0</v>
      </c>
      <c r="D29" s="11">
        <v>0</v>
      </c>
      <c r="E29" s="11">
        <v>-220</v>
      </c>
      <c r="F29" s="11">
        <v>0</v>
      </c>
      <c r="G29" s="11">
        <v>-638</v>
      </c>
      <c r="H29" s="11">
        <v>-244</v>
      </c>
      <c r="I29" s="11">
        <v>-350</v>
      </c>
      <c r="J29" s="11">
        <v>-496</v>
      </c>
      <c r="K29" s="11">
        <v>-3765</v>
      </c>
      <c r="L29" s="11">
        <v>-343</v>
      </c>
      <c r="M29" s="11">
        <v>-297</v>
      </c>
      <c r="N29" s="11">
        <v>-329</v>
      </c>
      <c r="O29" s="11">
        <v>-721</v>
      </c>
      <c r="P29" s="11">
        <v>-624</v>
      </c>
      <c r="R29" s="11"/>
      <c r="S29" s="11"/>
      <c r="T29" s="11"/>
      <c r="U29" s="11"/>
      <c r="V29" s="11"/>
    </row>
    <row r="30" spans="2:22" x14ac:dyDescent="0.55000000000000004">
      <c r="B30" s="11" t="s">
        <v>83</v>
      </c>
      <c r="C30" s="11">
        <v>-657</v>
      </c>
      <c r="D30" s="11">
        <v>-735</v>
      </c>
      <c r="E30" s="11">
        <v>-1091</v>
      </c>
      <c r="F30" s="11">
        <v>-1144</v>
      </c>
      <c r="G30" s="11">
        <v>-2005</v>
      </c>
      <c r="H30" s="11">
        <v>-4260</v>
      </c>
      <c r="I30" s="11">
        <v>-8295</v>
      </c>
      <c r="J30" s="11">
        <v>-8165</v>
      </c>
      <c r="K30" s="11">
        <v>-9571</v>
      </c>
      <c r="L30" s="11">
        <v>-11247</v>
      </c>
      <c r="M30" s="11">
        <v>-12734</v>
      </c>
      <c r="N30" s="11">
        <v>-12451</v>
      </c>
      <c r="O30" s="11">
        <v>-13313</v>
      </c>
      <c r="P30" s="11">
        <v>-10495</v>
      </c>
      <c r="Q30" s="11">
        <v>-7309</v>
      </c>
      <c r="R30" s="11">
        <v>-11085</v>
      </c>
      <c r="S30" s="11">
        <v>-10708</v>
      </c>
      <c r="T30" s="11">
        <v>-10959</v>
      </c>
      <c r="U30" s="11">
        <v>-9447</v>
      </c>
      <c r="V30" s="11">
        <v>-12715</v>
      </c>
    </row>
    <row r="31" spans="2:22" x14ac:dyDescent="0.55000000000000004">
      <c r="B31" s="11" t="s">
        <v>84</v>
      </c>
      <c r="C31" s="11">
        <v>-28</v>
      </c>
      <c r="D31" s="11">
        <v>-251</v>
      </c>
      <c r="E31" s="11">
        <v>-108</v>
      </c>
      <c r="F31" s="11">
        <v>-69</v>
      </c>
      <c r="G31" s="11">
        <v>-116</v>
      </c>
      <c r="H31" s="11">
        <v>-3192</v>
      </c>
      <c r="I31" s="11">
        <v>-1107</v>
      </c>
      <c r="J31" s="11">
        <v>-911</v>
      </c>
      <c r="K31" s="11">
        <v>-242</v>
      </c>
      <c r="L31" s="11">
        <v>-241</v>
      </c>
      <c r="M31" s="11">
        <v>-814</v>
      </c>
      <c r="N31" s="11">
        <v>-344</v>
      </c>
      <c r="O31" s="11"/>
      <c r="P31" s="11">
        <v>0</v>
      </c>
      <c r="Q31" s="11"/>
      <c r="R31" s="11"/>
      <c r="S31" s="11"/>
      <c r="T31" s="11"/>
      <c r="U31" s="11"/>
      <c r="V31" s="11"/>
    </row>
    <row r="32" spans="2:22" x14ac:dyDescent="0.55000000000000004">
      <c r="B32" s="11" t="s">
        <v>85</v>
      </c>
      <c r="C32" s="11">
        <v>-15</v>
      </c>
      <c r="D32" s="11">
        <v>32</v>
      </c>
      <c r="E32" s="11">
        <v>-48</v>
      </c>
      <c r="F32" s="11">
        <v>-175</v>
      </c>
      <c r="G32" s="11">
        <v>-20</v>
      </c>
      <c r="H32" s="11">
        <v>-259</v>
      </c>
      <c r="I32" s="11">
        <v>-48</v>
      </c>
      <c r="J32" s="11">
        <v>-160</v>
      </c>
      <c r="K32" s="11">
        <v>16</v>
      </c>
      <c r="L32" s="11">
        <v>-26</v>
      </c>
      <c r="M32" s="11">
        <v>-1498</v>
      </c>
      <c r="N32" s="11">
        <v>-175</v>
      </c>
      <c r="O32" s="11">
        <v>-2263</v>
      </c>
      <c r="P32" s="11">
        <v>0</v>
      </c>
      <c r="Q32" s="11"/>
      <c r="R32" s="11"/>
      <c r="S32" s="11"/>
      <c r="T32" s="11"/>
      <c r="U32" s="11"/>
      <c r="V32" s="11"/>
    </row>
    <row r="33" spans="2:22" x14ac:dyDescent="0.55000000000000004">
      <c r="B33" s="11" t="s">
        <v>86</v>
      </c>
      <c r="C33" s="11">
        <v>-25</v>
      </c>
      <c r="D33" s="11">
        <v>-17</v>
      </c>
      <c r="E33" s="11">
        <v>-38</v>
      </c>
      <c r="F33" s="11" t="s">
        <v>31</v>
      </c>
      <c r="G33" s="11" t="s">
        <v>31</v>
      </c>
      <c r="H33" s="11" t="s">
        <v>31</v>
      </c>
      <c r="I33" s="11" t="s">
        <v>31</v>
      </c>
      <c r="J33" s="11" t="s">
        <v>31</v>
      </c>
      <c r="K33" s="11" t="s">
        <v>31</v>
      </c>
      <c r="L33" s="11" t="s">
        <v>31</v>
      </c>
      <c r="M33" s="11" t="s">
        <v>31</v>
      </c>
      <c r="O33" s="11"/>
      <c r="P33" s="11">
        <v>0</v>
      </c>
      <c r="Q33" s="11"/>
      <c r="R33" s="11"/>
      <c r="S33" s="11"/>
      <c r="T33" s="11"/>
      <c r="U33" s="11"/>
      <c r="V33" s="11"/>
    </row>
    <row r="34" spans="2:22" x14ac:dyDescent="0.55000000000000004">
      <c r="B34" s="11" t="s">
        <v>87</v>
      </c>
      <c r="C34" s="11">
        <v>10</v>
      </c>
      <c r="D34" s="11">
        <v>49</v>
      </c>
      <c r="E34" s="11">
        <v>-10</v>
      </c>
      <c r="F34" s="11" t="s">
        <v>31</v>
      </c>
      <c r="G34" s="11" t="s">
        <v>31</v>
      </c>
      <c r="H34" s="11" t="s">
        <v>31</v>
      </c>
      <c r="I34" s="11" t="s">
        <v>31</v>
      </c>
      <c r="J34" s="11" t="s">
        <v>31</v>
      </c>
      <c r="K34" s="11" t="s">
        <v>31</v>
      </c>
      <c r="L34" s="11" t="s">
        <v>31</v>
      </c>
      <c r="M34" s="11" t="s">
        <v>31</v>
      </c>
      <c r="O34" s="11"/>
      <c r="P34" s="11">
        <v>0</v>
      </c>
      <c r="Q34" s="11"/>
      <c r="R34" s="11"/>
      <c r="S34" s="11"/>
      <c r="T34" s="11"/>
      <c r="U34" s="11"/>
      <c r="V34" s="11"/>
    </row>
    <row r="35" spans="2:22" x14ac:dyDescent="0.55000000000000004">
      <c r="B35" s="11" t="s">
        <v>88</v>
      </c>
      <c r="C35" s="11">
        <v>324</v>
      </c>
      <c r="D35" s="11">
        <v>739</v>
      </c>
      <c r="E35" s="11">
        <v>1116</v>
      </c>
      <c r="F35" s="11">
        <v>663</v>
      </c>
      <c r="G35" s="11">
        <v>1257</v>
      </c>
      <c r="H35" s="11">
        <v>1444</v>
      </c>
      <c r="I35" s="11">
        <v>-1698</v>
      </c>
      <c r="J35" s="11">
        <v>-16379</v>
      </c>
      <c r="K35" s="11">
        <v>-37549</v>
      </c>
      <c r="L35" s="11">
        <v>-17716</v>
      </c>
      <c r="M35" s="11">
        <v>-20483</v>
      </c>
      <c r="N35" s="11">
        <v>-17347</v>
      </c>
      <c r="O35" s="11">
        <v>-87876</v>
      </c>
      <c r="P35" s="11">
        <v>-90976</v>
      </c>
      <c r="Q35" s="11">
        <v>-86820</v>
      </c>
      <c r="R35" s="11">
        <v>-93353</v>
      </c>
      <c r="S35" s="11">
        <v>-110749</v>
      </c>
      <c r="T35" s="11">
        <v>-108488</v>
      </c>
      <c r="U35" s="11">
        <v>-121983</v>
      </c>
      <c r="V35" s="11">
        <v>-120686</v>
      </c>
    </row>
    <row r="36" spans="2:22" x14ac:dyDescent="0.55000000000000004">
      <c r="B36" s="11" t="s">
        <v>89</v>
      </c>
      <c r="C36" s="11">
        <v>318</v>
      </c>
      <c r="D36" s="11">
        <v>365</v>
      </c>
      <c r="E36" s="11">
        <v>483</v>
      </c>
      <c r="F36" s="11">
        <v>475</v>
      </c>
      <c r="G36" s="11">
        <v>912</v>
      </c>
      <c r="H36" s="11">
        <v>831</v>
      </c>
      <c r="I36" s="11">
        <v>665</v>
      </c>
      <c r="J36" s="11">
        <v>530</v>
      </c>
      <c r="K36" s="11">
        <v>730</v>
      </c>
      <c r="L36" s="11">
        <v>543</v>
      </c>
      <c r="M36" s="11">
        <v>495</v>
      </c>
      <c r="N36" s="11">
        <v>555</v>
      </c>
      <c r="O36" s="11">
        <v>669</v>
      </c>
      <c r="P36" s="11">
        <v>781</v>
      </c>
      <c r="Q36" s="11"/>
      <c r="R36" s="11"/>
      <c r="S36" s="11"/>
      <c r="T36" s="11"/>
      <c r="U36" s="11"/>
      <c r="V36" s="11"/>
    </row>
    <row r="37" spans="2:22" x14ac:dyDescent="0.55000000000000004">
      <c r="B37" s="11" t="s">
        <v>90</v>
      </c>
      <c r="C37" s="11">
        <v>361</v>
      </c>
      <c r="D37" s="11">
        <v>377</v>
      </c>
      <c r="E37" s="11">
        <v>757</v>
      </c>
      <c r="F37" s="11">
        <v>270</v>
      </c>
      <c r="G37" s="11">
        <v>751</v>
      </c>
      <c r="H37" s="11">
        <v>1133</v>
      </c>
      <c r="I37" s="11">
        <v>1351</v>
      </c>
      <c r="J37" s="11">
        <v>701</v>
      </c>
      <c r="K37" s="11">
        <v>739</v>
      </c>
      <c r="L37" s="11">
        <v>749</v>
      </c>
      <c r="M37" s="11">
        <v>407</v>
      </c>
      <c r="N37" s="11">
        <v>627</v>
      </c>
      <c r="O37" s="11" t="s">
        <v>190</v>
      </c>
      <c r="P37" s="11">
        <v>0</v>
      </c>
      <c r="Q37" s="11"/>
      <c r="R37" s="11"/>
      <c r="S37" s="11"/>
      <c r="T37" s="11"/>
      <c r="U37" s="11"/>
      <c r="V37" s="11"/>
    </row>
    <row r="38" spans="2:22" x14ac:dyDescent="0.55000000000000004">
      <c r="B38" s="11" t="s">
        <v>91</v>
      </c>
      <c r="C38" s="11">
        <v>-355</v>
      </c>
      <c r="D38" s="11">
        <v>-3</v>
      </c>
      <c r="E38" s="11">
        <v>-124</v>
      </c>
      <c r="F38" s="11">
        <v>-82</v>
      </c>
      <c r="G38" s="11">
        <v>-406</v>
      </c>
      <c r="H38" s="11">
        <v>-520</v>
      </c>
      <c r="I38" s="11">
        <v>-1226</v>
      </c>
      <c r="J38" s="11">
        <v>-1082</v>
      </c>
      <c r="K38" s="11">
        <v>-1158</v>
      </c>
      <c r="L38" s="11">
        <v>-1499</v>
      </c>
      <c r="M38" s="11">
        <v>-1570</v>
      </c>
      <c r="N38" s="11">
        <v>-1874</v>
      </c>
      <c r="O38" s="11">
        <v>-2527</v>
      </c>
      <c r="P38" s="11">
        <v>-2817</v>
      </c>
      <c r="Q38" s="11"/>
      <c r="R38" s="11"/>
      <c r="S38" s="11"/>
      <c r="T38" s="11"/>
      <c r="U38" s="11"/>
      <c r="V38" s="11"/>
    </row>
    <row r="39" spans="2:22" x14ac:dyDescent="0.55000000000000004">
      <c r="B39" s="11" t="s">
        <v>92</v>
      </c>
      <c r="C39" s="11" t="s">
        <v>31</v>
      </c>
      <c r="D39" s="11" t="s">
        <v>31</v>
      </c>
      <c r="E39" s="11" t="s">
        <v>31</v>
      </c>
      <c r="F39" s="11" t="s">
        <v>31</v>
      </c>
      <c r="G39" s="11">
        <v>0</v>
      </c>
      <c r="H39" s="11">
        <v>0</v>
      </c>
      <c r="I39" s="11">
        <v>-2488</v>
      </c>
      <c r="J39" s="11">
        <v>-10564</v>
      </c>
      <c r="K39" s="11">
        <v>-11126</v>
      </c>
      <c r="L39" s="11">
        <v>-11561</v>
      </c>
      <c r="M39" s="11">
        <v>-12150</v>
      </c>
      <c r="N39" s="11">
        <v>-12769</v>
      </c>
      <c r="O39" s="11">
        <v>-13712</v>
      </c>
      <c r="P39" s="11">
        <v>-14119</v>
      </c>
      <c r="Q39" s="11">
        <v>-14081</v>
      </c>
      <c r="R39" s="11">
        <v>-14467</v>
      </c>
      <c r="S39" s="11">
        <v>-14841</v>
      </c>
      <c r="T39" s="11">
        <v>-15025</v>
      </c>
      <c r="U39" s="11">
        <v>-15234</v>
      </c>
      <c r="V39" s="11">
        <v>-15421</v>
      </c>
    </row>
    <row r="40" spans="2:22" x14ac:dyDescent="0.55000000000000004">
      <c r="B40" s="11" t="s">
        <v>93</v>
      </c>
      <c r="C40" s="11" t="s">
        <v>31</v>
      </c>
      <c r="D40" s="11" t="s">
        <v>31</v>
      </c>
      <c r="E40" s="11" t="s">
        <v>31</v>
      </c>
      <c r="F40" s="11" t="s">
        <v>31</v>
      </c>
      <c r="G40" s="11" t="s">
        <v>31</v>
      </c>
      <c r="H40" s="11">
        <v>0</v>
      </c>
      <c r="I40" s="11">
        <v>0</v>
      </c>
      <c r="J40" s="11">
        <v>-22860</v>
      </c>
      <c r="K40" s="11">
        <v>-45000</v>
      </c>
      <c r="L40" s="11">
        <v>-35253</v>
      </c>
      <c r="M40" s="11">
        <v>-29722</v>
      </c>
      <c r="N40" s="11">
        <v>-32900</v>
      </c>
      <c r="O40" s="11">
        <v>-72738</v>
      </c>
      <c r="P40" s="11">
        <v>-66897</v>
      </c>
      <c r="Q40" s="11">
        <v>-72358</v>
      </c>
      <c r="R40" s="11">
        <v>-85971</v>
      </c>
      <c r="S40" s="11">
        <v>-89402</v>
      </c>
      <c r="T40" s="11">
        <v>-77550</v>
      </c>
      <c r="U40" s="11">
        <v>-94949</v>
      </c>
      <c r="V40" s="11">
        <v>-90711</v>
      </c>
    </row>
    <row r="41" spans="2:22" x14ac:dyDescent="0.55000000000000004">
      <c r="B41" s="11" t="s">
        <v>94</v>
      </c>
      <c r="C41" s="11" t="s">
        <v>31</v>
      </c>
      <c r="D41" s="11" t="s">
        <v>31</v>
      </c>
      <c r="E41" s="11" t="s">
        <v>31</v>
      </c>
      <c r="F41" s="11" t="s">
        <v>31</v>
      </c>
      <c r="G41" s="11" t="s">
        <v>31</v>
      </c>
      <c r="H41" s="11">
        <v>0</v>
      </c>
      <c r="I41" s="11">
        <v>0</v>
      </c>
      <c r="J41" s="11">
        <v>16896</v>
      </c>
      <c r="K41" s="11">
        <v>11960</v>
      </c>
      <c r="L41" s="11">
        <v>27114</v>
      </c>
      <c r="M41" s="11">
        <f>24954-2500</f>
        <v>22454</v>
      </c>
      <c r="N41" s="11">
        <v>28662</v>
      </c>
      <c r="O41" s="11">
        <v>469</v>
      </c>
      <c r="P41" s="11">
        <v>-1840</v>
      </c>
      <c r="Q41" s="11"/>
      <c r="S41" s="11"/>
      <c r="T41" s="11"/>
      <c r="U41" s="11"/>
    </row>
    <row r="42" spans="2:22" x14ac:dyDescent="0.55000000000000004">
      <c r="B42" s="11" t="s">
        <v>95</v>
      </c>
      <c r="C42" s="11" t="s">
        <v>31</v>
      </c>
      <c r="D42" s="11" t="s">
        <v>31</v>
      </c>
      <c r="E42" s="11" t="s">
        <v>31</v>
      </c>
      <c r="F42" s="11" t="s">
        <v>31</v>
      </c>
      <c r="G42" s="11" t="s">
        <v>31</v>
      </c>
      <c r="H42" s="11" t="s">
        <v>31</v>
      </c>
      <c r="I42" s="11">
        <v>0</v>
      </c>
      <c r="J42" s="11">
        <v>0</v>
      </c>
      <c r="K42" s="11">
        <v>6306</v>
      </c>
      <c r="L42" s="11">
        <v>2191</v>
      </c>
      <c r="M42" s="11">
        <v>-397</v>
      </c>
      <c r="N42" s="11">
        <v>3852</v>
      </c>
      <c r="O42" s="11">
        <v>-37</v>
      </c>
      <c r="P42" s="11">
        <v>-5977</v>
      </c>
      <c r="Q42" s="11"/>
      <c r="S42" s="11"/>
      <c r="U42" s="11"/>
    </row>
    <row r="43" spans="2:22" x14ac:dyDescent="0.55000000000000004">
      <c r="B43" s="11" t="s">
        <v>96</v>
      </c>
      <c r="C43" s="11">
        <v>2901</v>
      </c>
      <c r="D43" s="11">
        <v>2960</v>
      </c>
      <c r="E43" s="11">
        <v>2523</v>
      </c>
      <c r="F43" s="11">
        <v>-6612</v>
      </c>
      <c r="G43" s="11">
        <v>5998</v>
      </c>
      <c r="H43" s="11">
        <v>-1446</v>
      </c>
      <c r="I43" s="11">
        <v>931</v>
      </c>
      <c r="J43" s="11">
        <v>3513</v>
      </c>
      <c r="K43" s="11">
        <v>-415</v>
      </c>
      <c r="L43" s="11">
        <v>7276</v>
      </c>
      <c r="M43" s="11">
        <v>-636</v>
      </c>
      <c r="N43" s="11">
        <v>-195</v>
      </c>
      <c r="O43" s="11">
        <v>5624</v>
      </c>
      <c r="P43" s="11">
        <v>24311</v>
      </c>
      <c r="Q43" s="11"/>
      <c r="S43" s="11"/>
      <c r="U43" s="11"/>
    </row>
    <row r="44" spans="2:22" x14ac:dyDescent="0.55000000000000004">
      <c r="B44" s="11" t="s">
        <v>97</v>
      </c>
      <c r="C44" s="11">
        <v>3491</v>
      </c>
      <c r="D44" s="11">
        <v>6392</v>
      </c>
      <c r="E44" s="11">
        <v>9352</v>
      </c>
      <c r="F44" s="11">
        <v>11875</v>
      </c>
      <c r="G44" s="11">
        <v>5263</v>
      </c>
      <c r="H44" s="11">
        <v>11261</v>
      </c>
      <c r="I44" s="11">
        <v>9815</v>
      </c>
      <c r="J44" s="11">
        <v>10746</v>
      </c>
      <c r="K44" s="11">
        <v>14259</v>
      </c>
      <c r="L44" s="11">
        <v>13844</v>
      </c>
      <c r="M44" s="11">
        <v>21120</v>
      </c>
      <c r="N44" s="11">
        <v>20484</v>
      </c>
      <c r="O44" s="11">
        <v>20289</v>
      </c>
      <c r="P44" s="11"/>
      <c r="Q44" s="11"/>
      <c r="S44" s="11"/>
      <c r="U44" s="11"/>
    </row>
    <row r="45" spans="2:22" x14ac:dyDescent="0.55000000000000004">
      <c r="B45" s="11" t="s">
        <v>98</v>
      </c>
      <c r="C45" s="11">
        <v>6392</v>
      </c>
      <c r="D45" s="11">
        <v>9352</v>
      </c>
      <c r="E45" s="11">
        <v>11875</v>
      </c>
      <c r="F45" s="11">
        <v>5263</v>
      </c>
      <c r="G45" s="11">
        <v>11261</v>
      </c>
      <c r="H45" s="11">
        <v>9815</v>
      </c>
      <c r="I45" s="11">
        <v>10746</v>
      </c>
      <c r="J45" s="11">
        <v>14259</v>
      </c>
      <c r="K45" s="11">
        <v>13844</v>
      </c>
      <c r="L45" s="11">
        <v>21120</v>
      </c>
      <c r="M45" s="11">
        <v>20484</v>
      </c>
      <c r="N45" s="11">
        <v>20289</v>
      </c>
      <c r="O45" s="11">
        <v>25913</v>
      </c>
      <c r="P45" s="11"/>
      <c r="Q45" s="11"/>
      <c r="S45" s="11"/>
      <c r="U45" s="11"/>
    </row>
    <row r="46" spans="2:22" x14ac:dyDescent="0.55000000000000004">
      <c r="B46" s="11" t="s">
        <v>99</v>
      </c>
      <c r="C46" s="11" t="s">
        <v>31</v>
      </c>
      <c r="D46" s="11" t="s">
        <v>31</v>
      </c>
      <c r="E46" s="11" t="s">
        <v>31</v>
      </c>
      <c r="F46" s="11" t="s">
        <v>31</v>
      </c>
      <c r="G46" s="11" t="s">
        <v>31</v>
      </c>
      <c r="H46" s="11" t="s">
        <v>31</v>
      </c>
      <c r="I46" s="11" t="s">
        <v>31</v>
      </c>
      <c r="J46" s="11" t="s">
        <v>31</v>
      </c>
      <c r="K46" s="11" t="s">
        <v>31</v>
      </c>
      <c r="L46" s="11" t="s">
        <v>31</v>
      </c>
      <c r="M46" s="11" t="s">
        <v>31</v>
      </c>
      <c r="N46" s="11"/>
      <c r="O46" s="11"/>
      <c r="P46" s="11"/>
      <c r="Q46" s="11"/>
      <c r="S46" s="11"/>
      <c r="U46" s="11"/>
    </row>
    <row r="47" spans="2:22" x14ac:dyDescent="0.55000000000000004">
      <c r="B47" s="11" t="s">
        <v>100</v>
      </c>
      <c r="C47" s="11">
        <v>-194</v>
      </c>
      <c r="D47" s="11">
        <v>-863</v>
      </c>
      <c r="E47" s="11">
        <v>-1267</v>
      </c>
      <c r="F47" s="11">
        <v>-2997</v>
      </c>
      <c r="G47" s="11">
        <v>-2697</v>
      </c>
      <c r="H47" s="11">
        <v>-3338</v>
      </c>
      <c r="I47" s="11">
        <v>-7682</v>
      </c>
      <c r="J47" s="11">
        <v>-9128</v>
      </c>
      <c r="K47" s="11">
        <v>-10026</v>
      </c>
      <c r="L47" s="11">
        <v>-13252</v>
      </c>
      <c r="M47" s="11">
        <v>-10444</v>
      </c>
      <c r="N47" s="11">
        <v>-11591</v>
      </c>
      <c r="O47" s="11">
        <v>-10417</v>
      </c>
      <c r="P47" s="11"/>
      <c r="Q47" s="11"/>
      <c r="S47" s="11"/>
      <c r="U47" s="11"/>
    </row>
    <row r="48" spans="2:22" x14ac:dyDescent="0.55000000000000004">
      <c r="B48" s="11" t="s">
        <v>101</v>
      </c>
      <c r="C48" s="11" t="s">
        <v>31</v>
      </c>
      <c r="D48" s="11" t="s">
        <v>31</v>
      </c>
      <c r="E48" s="11" t="s">
        <v>31</v>
      </c>
      <c r="F48" s="11" t="s">
        <v>31</v>
      </c>
      <c r="G48" s="11" t="s">
        <v>31</v>
      </c>
      <c r="H48" s="11" t="s">
        <v>31</v>
      </c>
      <c r="I48" s="11">
        <v>0</v>
      </c>
      <c r="J48" s="11">
        <v>0</v>
      </c>
      <c r="K48" s="11">
        <v>-339</v>
      </c>
      <c r="L48" s="11">
        <v>-514</v>
      </c>
      <c r="M48" s="11">
        <v>-1316</v>
      </c>
      <c r="N48" s="11">
        <v>-2092</v>
      </c>
      <c r="O48" s="11">
        <v>-3022</v>
      </c>
      <c r="P48" s="11"/>
      <c r="Q48" s="11"/>
      <c r="S48" s="11"/>
      <c r="U48" s="11"/>
    </row>
    <row r="49" spans="13:19" x14ac:dyDescent="0.55000000000000004">
      <c r="M49" s="11"/>
      <c r="S49" s="11"/>
    </row>
  </sheetData>
  <phoneticPr fontId="1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G5"/>
  <sheetViews>
    <sheetView workbookViewId="0"/>
  </sheetViews>
  <sheetFormatPr defaultColWidth="9.1015625" defaultRowHeight="13.8" x14ac:dyDescent="0.45"/>
  <cols>
    <col min="1" max="1" width="7.83984375" style="17" customWidth="1"/>
    <col min="2" max="7" width="11.68359375" style="17" customWidth="1"/>
    <col min="8" max="16384" width="9.1015625" style="17"/>
  </cols>
  <sheetData>
    <row r="2" spans="2:7" ht="14.1" x14ac:dyDescent="0.5">
      <c r="B2" s="108" t="s">
        <v>195</v>
      </c>
      <c r="C2" s="108"/>
      <c r="D2" s="108" t="s">
        <v>193</v>
      </c>
      <c r="E2" s="108"/>
      <c r="F2" s="108"/>
      <c r="G2" s="108"/>
    </row>
    <row r="3" spans="2:7" x14ac:dyDescent="0.45">
      <c r="B3" s="23"/>
      <c r="C3" s="23"/>
      <c r="D3" s="24"/>
      <c r="E3" s="24"/>
      <c r="F3" s="24"/>
      <c r="G3" s="24"/>
    </row>
    <row r="4" spans="2:7" x14ac:dyDescent="0.45">
      <c r="B4" s="25"/>
      <c r="C4" s="25"/>
      <c r="D4" s="25"/>
      <c r="E4" s="25"/>
      <c r="F4" s="26"/>
      <c r="G4" s="26"/>
    </row>
    <row r="5" spans="2:7" ht="14.1" x14ac:dyDescent="0.5">
      <c r="B5" s="108" t="s">
        <v>192</v>
      </c>
      <c r="C5" s="108"/>
      <c r="D5" s="108"/>
      <c r="E5" s="108"/>
      <c r="F5" s="108" t="s">
        <v>194</v>
      </c>
      <c r="G5" s="108"/>
    </row>
  </sheetData>
  <mergeCells count="4">
    <mergeCell ref="B5:E5"/>
    <mergeCell ref="B2:C2"/>
    <mergeCell ref="D2:G2"/>
    <mergeCell ref="F5:G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V25"/>
  <sheetViews>
    <sheetView zoomScaleNormal="100" workbookViewId="0"/>
  </sheetViews>
  <sheetFormatPr defaultColWidth="9.1015625" defaultRowHeight="13.8" x14ac:dyDescent="0.45"/>
  <cols>
    <col min="1" max="1" width="5.578125" style="17" customWidth="1"/>
    <col min="2" max="2" width="24.41796875" style="17" customWidth="1"/>
    <col min="3" max="18" width="9.68359375" style="17" customWidth="1"/>
    <col min="19" max="16384" width="9.1015625" style="17"/>
  </cols>
  <sheetData>
    <row r="2" spans="2:22" s="10" customFormat="1" ht="14.1" x14ac:dyDescent="0.55000000000000004">
      <c r="B2" s="18" t="s">
        <v>128</v>
      </c>
    </row>
    <row r="3" spans="2:22" s="10" customFormat="1" x14ac:dyDescent="0.55000000000000004"/>
    <row r="4" spans="2:22" s="10" customFormat="1" ht="14.1" x14ac:dyDescent="0.55000000000000004">
      <c r="C4" s="27" t="s">
        <v>10</v>
      </c>
      <c r="D4" s="27" t="s">
        <v>9</v>
      </c>
      <c r="E4" s="27" t="s">
        <v>8</v>
      </c>
      <c r="F4" s="27" t="s">
        <v>7</v>
      </c>
      <c r="G4" s="27" t="s">
        <v>6</v>
      </c>
      <c r="H4" s="27" t="s">
        <v>5</v>
      </c>
      <c r="I4" s="27" t="s">
        <v>4</v>
      </c>
      <c r="J4" s="27" t="s">
        <v>3</v>
      </c>
      <c r="K4" s="27" t="s">
        <v>2</v>
      </c>
      <c r="L4" s="27" t="s">
        <v>1</v>
      </c>
      <c r="M4" s="27" t="s">
        <v>186</v>
      </c>
      <c r="N4" s="27" t="s">
        <v>187</v>
      </c>
      <c r="O4" s="27" t="s">
        <v>189</v>
      </c>
      <c r="P4" s="27" t="s">
        <v>191</v>
      </c>
      <c r="Q4" s="27" t="s">
        <v>205</v>
      </c>
      <c r="R4" s="27" t="s">
        <v>211</v>
      </c>
      <c r="S4" s="27" t="s">
        <v>336</v>
      </c>
      <c r="T4" s="27" t="s">
        <v>338</v>
      </c>
      <c r="U4" s="27" t="s">
        <v>344</v>
      </c>
      <c r="V4" s="27" t="s">
        <v>348</v>
      </c>
    </row>
    <row r="5" spans="2:22" s="10" customFormat="1" x14ac:dyDescent="0.55000000000000004">
      <c r="B5" s="10" t="s">
        <v>121</v>
      </c>
      <c r="C5" s="13">
        <f>IS!C4</f>
        <v>19.315000000000001</v>
      </c>
      <c r="D5" s="13">
        <f>IS!D4</f>
        <v>24.006</v>
      </c>
      <c r="E5" s="13">
        <f>IS!E4</f>
        <v>37.491</v>
      </c>
      <c r="F5" s="13">
        <f>IS!F4</f>
        <v>42.905000000000001</v>
      </c>
      <c r="G5" s="13">
        <f>IS!G4</f>
        <v>65.224999999999994</v>
      </c>
      <c r="H5" s="13">
        <f>IS!H4</f>
        <v>108.249</v>
      </c>
      <c r="I5" s="13">
        <f>IS!I4</f>
        <v>156.50800000000001</v>
      </c>
      <c r="J5" s="13">
        <f>IS!J4</f>
        <v>170.91</v>
      </c>
      <c r="K5" s="13">
        <f>IS!K4</f>
        <v>182.79499999999999</v>
      </c>
      <c r="L5" s="13">
        <f>IS!L4</f>
        <v>233.715</v>
      </c>
      <c r="M5" s="13">
        <f>IS!M4</f>
        <v>215.63900000000001</v>
      </c>
      <c r="N5" s="13">
        <f>IS!N4</f>
        <v>229.23400000000001</v>
      </c>
      <c r="O5" s="13">
        <f>IS!O4</f>
        <v>265.59500000000003</v>
      </c>
      <c r="P5" s="13">
        <f>IS!P4</f>
        <v>260.17399999999998</v>
      </c>
      <c r="Q5" s="13">
        <f>IS!Q4</f>
        <v>274.51499999999999</v>
      </c>
      <c r="R5" s="13">
        <f>IS!R4</f>
        <v>365.81700000000001</v>
      </c>
      <c r="S5" s="13">
        <f>IS!S4</f>
        <v>394</v>
      </c>
      <c r="T5" s="13">
        <f>IS!T4</f>
        <v>383</v>
      </c>
      <c r="U5" s="13">
        <f>IS!U4</f>
        <v>391</v>
      </c>
      <c r="V5" s="13">
        <f>IS!V4</f>
        <v>416.161</v>
      </c>
    </row>
    <row r="6" spans="2:22" s="10" customFormat="1" x14ac:dyDescent="0.55000000000000004">
      <c r="B6" s="10" t="s">
        <v>12</v>
      </c>
      <c r="C6" s="13">
        <f>-IS!C5</f>
        <v>13.717000000000001</v>
      </c>
      <c r="D6" s="13">
        <f>-IS!D5</f>
        <v>15.852</v>
      </c>
      <c r="E6" s="13">
        <f>-IS!E5</f>
        <v>24.294</v>
      </c>
      <c r="F6" s="13">
        <f>-IS!F5</f>
        <v>25.683</v>
      </c>
      <c r="G6" s="13">
        <f>-IS!G5</f>
        <v>39.540999999999997</v>
      </c>
      <c r="H6" s="13">
        <f>-IS!H5</f>
        <v>64.430999999999997</v>
      </c>
      <c r="I6" s="13">
        <f>-IS!I5</f>
        <v>87.846000000000004</v>
      </c>
      <c r="J6" s="13">
        <f>-IS!J5</f>
        <v>106.60599999999999</v>
      </c>
      <c r="K6" s="13">
        <f>-IS!K5</f>
        <v>112.258</v>
      </c>
      <c r="L6" s="13">
        <f>-IS!L5</f>
        <v>140.089</v>
      </c>
      <c r="M6" s="13">
        <f>-IS!M5</f>
        <v>131.376</v>
      </c>
      <c r="N6" s="13">
        <f>-IS!N5</f>
        <v>141.048</v>
      </c>
      <c r="O6" s="13">
        <f>-IS!O5</f>
        <v>163.756</v>
      </c>
      <c r="P6" s="13">
        <f>-IS!P5</f>
        <v>161.78200000000001</v>
      </c>
      <c r="Q6" s="13">
        <f>-IS!Q5</f>
        <v>169.559</v>
      </c>
      <c r="R6" s="13">
        <f>-IS!R5</f>
        <v>212.98099999999999</v>
      </c>
      <c r="S6" s="13">
        <f>-IS!S5</f>
        <v>224</v>
      </c>
      <c r="T6" s="13">
        <f>-IS!T5</f>
        <v>214</v>
      </c>
      <c r="U6" s="13">
        <f>-IS!U5</f>
        <v>210</v>
      </c>
      <c r="V6" s="13">
        <f>-IS!V5</f>
        <v>220.96</v>
      </c>
    </row>
    <row r="7" spans="2:22" s="10" customFormat="1" x14ac:dyDescent="0.55000000000000004">
      <c r="B7" s="10" t="s">
        <v>23</v>
      </c>
      <c r="C7" s="13">
        <f>BS!C4</f>
        <v>17.204999999999998</v>
      </c>
      <c r="D7" s="13">
        <f>BS!D4</f>
        <v>25.347000000000001</v>
      </c>
      <c r="E7" s="13">
        <f>BS!E4</f>
        <v>39.572000000000003</v>
      </c>
      <c r="F7" s="13">
        <f>BS!F4</f>
        <v>47.500999999999998</v>
      </c>
      <c r="G7" s="13">
        <f>BS!G4</f>
        <v>75.183000000000007</v>
      </c>
      <c r="H7" s="13">
        <f>BS!H4</f>
        <v>116.371</v>
      </c>
      <c r="I7" s="13">
        <f>BS!I4</f>
        <v>176.06399999999999</v>
      </c>
      <c r="J7" s="13">
        <f>BS!J4</f>
        <v>207</v>
      </c>
      <c r="K7" s="13">
        <f>BS!K4</f>
        <v>231.839</v>
      </c>
      <c r="L7" s="13">
        <f>BS!L4</f>
        <v>290.47899999999998</v>
      </c>
      <c r="M7" s="13">
        <f>BS!M4</f>
        <v>321.68599999999998</v>
      </c>
      <c r="N7" s="13">
        <f>BS!N4</f>
        <v>375.31900000000002</v>
      </c>
      <c r="O7" s="13">
        <f>BS!O4</f>
        <v>365.72500000000002</v>
      </c>
      <c r="P7" s="13">
        <f>BS!P4</f>
        <v>338.51600000000002</v>
      </c>
      <c r="Q7" s="13">
        <f>BS!Q4</f>
        <v>323.88799999999998</v>
      </c>
      <c r="R7" s="13">
        <f>BS!R4</f>
        <v>351.00200000000001</v>
      </c>
      <c r="S7" s="13">
        <f>BS!S4</f>
        <v>352.755</v>
      </c>
      <c r="T7" s="13">
        <f>BS!T4</f>
        <v>353</v>
      </c>
      <c r="U7" s="13">
        <f>BS!U4</f>
        <v>365</v>
      </c>
      <c r="V7" s="13">
        <f>BS!V4</f>
        <v>359.24099999999999</v>
      </c>
    </row>
    <row r="8" spans="2:22" s="10" customFormat="1" x14ac:dyDescent="0.55000000000000004">
      <c r="B8" s="10" t="s">
        <v>118</v>
      </c>
      <c r="C8" s="19">
        <f>BS!C8+BS!C11</f>
        <v>1.252</v>
      </c>
      <c r="D8" s="19">
        <f>BS!D8+BS!D11</f>
        <v>1.637</v>
      </c>
      <c r="E8" s="19">
        <f>BS!E8+BS!E11</f>
        <v>2.4220000000000002</v>
      </c>
      <c r="F8" s="19">
        <f>BS!F8+BS!F11</f>
        <v>5.0570000000000004</v>
      </c>
      <c r="G8" s="19">
        <f>BS!G8+BS!G11</f>
        <v>9.9239999999999995</v>
      </c>
      <c r="H8" s="19">
        <f>BS!H8+BS!H11</f>
        <v>11.716999999999999</v>
      </c>
      <c r="I8" s="19">
        <f>BS!I8+BS!I11</f>
        <v>18.692</v>
      </c>
      <c r="J8" s="19">
        <f>BS!J8+BS!J11</f>
        <v>20.640999999999998</v>
      </c>
      <c r="K8" s="19">
        <f>BS!K8+BS!K11</f>
        <v>27.219000000000001</v>
      </c>
      <c r="L8" s="19">
        <f>BS!L8+BS!L11</f>
        <v>30.343</v>
      </c>
      <c r="M8" s="19">
        <f>BS!M8+BS!M11</f>
        <v>29.298999999999999</v>
      </c>
      <c r="N8" s="19">
        <f>BS!N8+BS!N11</f>
        <v>35.673000000000002</v>
      </c>
      <c r="O8" s="19">
        <f>BS!O8+BS!O11</f>
        <v>48.995000000000005</v>
      </c>
      <c r="P8" s="19">
        <f>BS!P8+BS!P11</f>
        <v>45.804000000000002</v>
      </c>
      <c r="Q8" s="19">
        <f>BS!Q8+BS!Q11</f>
        <v>37.445</v>
      </c>
      <c r="R8" s="19">
        <f>BS!R8+BS!R11</f>
        <v>51.506</v>
      </c>
      <c r="S8" s="19">
        <f>BS!S8+BS!S11</f>
        <v>61.183999999999997</v>
      </c>
      <c r="T8" s="19">
        <f>BS!T8+BS!T11</f>
        <v>62</v>
      </c>
      <c r="U8" s="19">
        <f>BS!U8+BS!U11</f>
        <v>66</v>
      </c>
      <c r="V8" s="19">
        <f>BS!V8+BS!V11</f>
        <v>72.956999999999994</v>
      </c>
    </row>
    <row r="9" spans="2:22" s="10" customFormat="1" x14ac:dyDescent="0.55000000000000004">
      <c r="B9" s="10" t="s">
        <v>119</v>
      </c>
      <c r="C9" s="19">
        <f>BS!C9</f>
        <v>0.27</v>
      </c>
      <c r="D9" s="19">
        <f>BS!D9</f>
        <v>0.34599999999999997</v>
      </c>
      <c r="E9" s="19">
        <f>BS!E9</f>
        <v>0.50900000000000001</v>
      </c>
      <c r="F9" s="19">
        <f>BS!F9</f>
        <v>0.45500000000000002</v>
      </c>
      <c r="G9" s="19">
        <f>BS!G9</f>
        <v>1.0509999999999999</v>
      </c>
      <c r="H9" s="19">
        <f>BS!H9</f>
        <v>0.77600000000000002</v>
      </c>
      <c r="I9" s="19">
        <f>BS!I9</f>
        <v>0.79100000000000004</v>
      </c>
      <c r="J9" s="19">
        <f>BS!J9</f>
        <v>1.764</v>
      </c>
      <c r="K9" s="19">
        <f>BS!K9</f>
        <v>2.1110000000000002</v>
      </c>
      <c r="L9" s="19">
        <f>BS!L9</f>
        <v>2.3490000000000002</v>
      </c>
      <c r="M9" s="19">
        <f>BS!M9</f>
        <v>2.1320000000000001</v>
      </c>
      <c r="N9" s="19">
        <f>BS!N9</f>
        <v>4.8550000000000004</v>
      </c>
      <c r="O9" s="19">
        <f>BS!O9</f>
        <v>3.956</v>
      </c>
      <c r="P9" s="19">
        <f>BS!P9</f>
        <v>4.1059999999999999</v>
      </c>
      <c r="Q9" s="19">
        <f>BS!Q9</f>
        <v>4.0609999999999999</v>
      </c>
      <c r="R9" s="19">
        <f>BS!R9</f>
        <v>6.58</v>
      </c>
      <c r="S9" s="19">
        <f>BS!S9</f>
        <v>4.9459999999999997</v>
      </c>
      <c r="T9" s="19">
        <f>BS!T9</f>
        <v>6</v>
      </c>
      <c r="U9" s="19">
        <f>BS!U9</f>
        <v>7</v>
      </c>
      <c r="V9" s="19">
        <f>BS!V9</f>
        <v>5.718</v>
      </c>
    </row>
    <row r="10" spans="2:22" s="10" customFormat="1" x14ac:dyDescent="0.55000000000000004">
      <c r="B10" s="10" t="s">
        <v>120</v>
      </c>
      <c r="C10" s="19">
        <f>BS!C23</f>
        <v>3.39</v>
      </c>
      <c r="D10" s="19">
        <f>BS!D23</f>
        <v>4.97</v>
      </c>
      <c r="E10" s="19">
        <f>BS!E23</f>
        <v>5.52</v>
      </c>
      <c r="F10" s="19">
        <f>BS!F23</f>
        <v>5.601</v>
      </c>
      <c r="G10" s="19">
        <f>BS!G23</f>
        <v>12.015000000000001</v>
      </c>
      <c r="H10" s="19">
        <f>BS!H23</f>
        <v>14.632</v>
      </c>
      <c r="I10" s="19">
        <f>BS!I23</f>
        <v>21.175000000000001</v>
      </c>
      <c r="J10" s="19">
        <f>BS!J23</f>
        <v>22.367000000000001</v>
      </c>
      <c r="K10" s="19">
        <f>BS!K23</f>
        <v>30.196000000000002</v>
      </c>
      <c r="L10" s="19">
        <f>BS!L23</f>
        <v>35.49</v>
      </c>
      <c r="M10" s="19">
        <f>BS!M23</f>
        <v>37.293999999999997</v>
      </c>
      <c r="N10" s="19">
        <f>BS!N23</f>
        <v>49.048999999999999</v>
      </c>
      <c r="O10" s="19">
        <f>BS!O23</f>
        <v>55.887999999999998</v>
      </c>
      <c r="P10" s="19">
        <f>BS!P23</f>
        <v>46.235999999999997</v>
      </c>
      <c r="Q10" s="19">
        <f>BS!Q23</f>
        <v>42.295999999999999</v>
      </c>
      <c r="R10" s="19">
        <f>BS!R23</f>
        <v>54.762999999999998</v>
      </c>
      <c r="S10" s="19">
        <f>BS!S23</f>
        <v>64.114999999999995</v>
      </c>
      <c r="T10" s="19">
        <f>BS!T23</f>
        <v>63</v>
      </c>
      <c r="U10" s="19">
        <f>BS!U23</f>
        <v>69</v>
      </c>
      <c r="V10" s="19">
        <f>BS!V23</f>
        <v>69.86</v>
      </c>
    </row>
    <row r="11" spans="2:22" s="10" customFormat="1" x14ac:dyDescent="0.55000000000000004"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2:22" s="10" customFormat="1" ht="14.1" x14ac:dyDescent="0.55000000000000004">
      <c r="B12" s="20" t="s">
        <v>151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2:22" s="10" customFormat="1" x14ac:dyDescent="0.55000000000000004">
      <c r="B13" s="10" t="s">
        <v>184</v>
      </c>
      <c r="D13" s="28">
        <f t="shared" ref="D13:V13" si="0">D5/((C7+D7)/2)</f>
        <v>1.1283135927805978</v>
      </c>
      <c r="E13" s="28">
        <f t="shared" si="0"/>
        <v>1.1550085491150508</v>
      </c>
      <c r="F13" s="28">
        <f t="shared" si="0"/>
        <v>0.98549492954187856</v>
      </c>
      <c r="G13" s="28">
        <f t="shared" si="0"/>
        <v>1.0633008379250757</v>
      </c>
      <c r="H13" s="28">
        <f t="shared" si="0"/>
        <v>1.1302191549119307</v>
      </c>
      <c r="I13" s="28">
        <f t="shared" si="0"/>
        <v>1.070378032725221</v>
      </c>
      <c r="J13" s="28">
        <f t="shared" si="0"/>
        <v>0.89233130756218293</v>
      </c>
      <c r="K13" s="28">
        <f t="shared" si="0"/>
        <v>0.83308457087906951</v>
      </c>
      <c r="L13" s="28">
        <f t="shared" si="0"/>
        <v>0.89491459225988768</v>
      </c>
      <c r="M13" s="28">
        <f t="shared" si="0"/>
        <v>0.70451267223706038</v>
      </c>
      <c r="N13" s="28">
        <f t="shared" si="0"/>
        <v>0.65776859563417767</v>
      </c>
      <c r="O13" s="28">
        <f t="shared" si="0"/>
        <v>0.71681303674275754</v>
      </c>
      <c r="P13" s="28">
        <f t="shared" si="0"/>
        <v>0.73887774213656965</v>
      </c>
      <c r="Q13" s="28">
        <f t="shared" si="0"/>
        <v>0.82884463258072105</v>
      </c>
      <c r="R13" s="28">
        <f t="shared" si="0"/>
        <v>1.084078886929722</v>
      </c>
      <c r="S13" s="28">
        <f t="shared" si="0"/>
        <v>1.1197046707883545</v>
      </c>
      <c r="T13" s="28">
        <f t="shared" si="0"/>
        <v>1.0853624841481817</v>
      </c>
      <c r="U13" s="28">
        <f t="shared" si="0"/>
        <v>1.0891364902506964</v>
      </c>
      <c r="V13" s="28">
        <f t="shared" si="0"/>
        <v>1.1492334733880021</v>
      </c>
    </row>
    <row r="14" spans="2:22" s="10" customFormat="1" x14ac:dyDescent="0.55000000000000004"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2:22" s="10" customFormat="1" x14ac:dyDescent="0.55000000000000004">
      <c r="B15" s="10" t="s">
        <v>122</v>
      </c>
      <c r="D15" s="29">
        <f>$D$5/((C8+D8)/2)</f>
        <v>16.61889927310488</v>
      </c>
      <c r="E15" s="29">
        <f t="shared" ref="E15:V15" si="1">E5/((D8+E8)/2)</f>
        <v>18.473022912047302</v>
      </c>
      <c r="F15" s="29">
        <f t="shared" si="1"/>
        <v>11.473459018585372</v>
      </c>
      <c r="G15" s="29">
        <f t="shared" si="1"/>
        <v>8.7076964154595817</v>
      </c>
      <c r="H15" s="29">
        <f t="shared" si="1"/>
        <v>10.004066355528858</v>
      </c>
      <c r="I15" s="29">
        <f t="shared" si="1"/>
        <v>10.293531520273604</v>
      </c>
      <c r="J15" s="29">
        <f t="shared" si="1"/>
        <v>8.6904126306155138</v>
      </c>
      <c r="K15" s="29">
        <f t="shared" si="1"/>
        <v>7.6387379857918924</v>
      </c>
      <c r="L15" s="29">
        <f t="shared" si="1"/>
        <v>8.1204614155171821</v>
      </c>
      <c r="M15" s="29">
        <f t="shared" si="1"/>
        <v>7.2311123034103488</v>
      </c>
      <c r="N15" s="29">
        <f t="shared" si="1"/>
        <v>7.0563935233639103</v>
      </c>
      <c r="O15" s="29">
        <f t="shared" si="1"/>
        <v>6.2737988378135778</v>
      </c>
      <c r="P15" s="29">
        <f t="shared" si="1"/>
        <v>5.4889608540174466</v>
      </c>
      <c r="Q15" s="29">
        <f t="shared" si="1"/>
        <v>6.5950341745846801</v>
      </c>
      <c r="R15" s="29">
        <f t="shared" si="1"/>
        <v>8.2251351867882327</v>
      </c>
      <c r="S15" s="29">
        <f t="shared" si="1"/>
        <v>6.9926346614606443</v>
      </c>
      <c r="T15" s="29">
        <f t="shared" si="1"/>
        <v>6.2183400441615797</v>
      </c>
      <c r="U15" s="29">
        <f t="shared" si="1"/>
        <v>6.109375</v>
      </c>
      <c r="V15" s="29">
        <f t="shared" si="1"/>
        <v>5.9897810113920134</v>
      </c>
    </row>
    <row r="16" spans="2:22" s="10" customFormat="1" x14ac:dyDescent="0.55000000000000004">
      <c r="B16" s="10" t="s">
        <v>123</v>
      </c>
      <c r="D16" s="29">
        <f>D6/((C9+D9)/2)</f>
        <v>51.467532467532472</v>
      </c>
      <c r="E16" s="29">
        <f t="shared" ref="E16:V16" si="2">E6/((D9+E9)/2)</f>
        <v>56.828070175438597</v>
      </c>
      <c r="F16" s="29">
        <f t="shared" si="2"/>
        <v>53.284232365145229</v>
      </c>
      <c r="G16" s="29">
        <f t="shared" si="2"/>
        <v>52.511288180610883</v>
      </c>
      <c r="H16" s="29">
        <f t="shared" si="2"/>
        <v>70.532019704433495</v>
      </c>
      <c r="I16" s="29">
        <f t="shared" si="2"/>
        <v>112.11997447351627</v>
      </c>
      <c r="J16" s="29">
        <f t="shared" si="2"/>
        <v>83.448923679060655</v>
      </c>
      <c r="K16" s="29">
        <f t="shared" si="2"/>
        <v>57.939612903225807</v>
      </c>
      <c r="L16" s="29">
        <f t="shared" si="2"/>
        <v>62.820179372197295</v>
      </c>
      <c r="M16" s="29">
        <f t="shared" si="2"/>
        <v>58.636911403704531</v>
      </c>
      <c r="N16" s="29">
        <f t="shared" si="2"/>
        <v>40.374409617861744</v>
      </c>
      <c r="O16" s="29">
        <f t="shared" si="2"/>
        <v>37.170809215753039</v>
      </c>
      <c r="P16" s="29">
        <f t="shared" si="2"/>
        <v>40.13445795088068</v>
      </c>
      <c r="Q16" s="29">
        <f t="shared" si="2"/>
        <v>41.52295824660218</v>
      </c>
      <c r="R16" s="29">
        <f t="shared" si="2"/>
        <v>40.030260313880277</v>
      </c>
      <c r="S16" s="29">
        <f t="shared" si="2"/>
        <v>38.868644803053968</v>
      </c>
      <c r="T16" s="29">
        <f t="shared" si="2"/>
        <v>39.101041476338388</v>
      </c>
      <c r="U16" s="29">
        <f t="shared" si="2"/>
        <v>32.307692307692307</v>
      </c>
      <c r="V16" s="29">
        <f t="shared" si="2"/>
        <v>34.747601824186191</v>
      </c>
    </row>
    <row r="17" spans="2:22" s="10" customFormat="1" x14ac:dyDescent="0.55000000000000004">
      <c r="B17" s="10" t="s">
        <v>124</v>
      </c>
      <c r="D17" s="29">
        <f t="shared" ref="D17:V17" si="3">(D6)/((C10+D10)/2)</f>
        <v>3.7923444976076559</v>
      </c>
      <c r="E17" s="29">
        <f t="shared" si="3"/>
        <v>4.6318398474737856</v>
      </c>
      <c r="F17" s="29">
        <f t="shared" si="3"/>
        <v>4.6188292419746428</v>
      </c>
      <c r="G17" s="29">
        <f t="shared" si="3"/>
        <v>4.4892143505903723</v>
      </c>
      <c r="H17" s="29">
        <f t="shared" si="3"/>
        <v>4.8358914699590949</v>
      </c>
      <c r="I17" s="29">
        <f t="shared" si="3"/>
        <v>4.9066383667997879</v>
      </c>
      <c r="J17" s="29">
        <f t="shared" si="3"/>
        <v>4.8966974415506863</v>
      </c>
      <c r="K17" s="29">
        <f t="shared" si="3"/>
        <v>4.2713695945817394</v>
      </c>
      <c r="L17" s="29">
        <f t="shared" si="3"/>
        <v>4.2654142435222111</v>
      </c>
      <c r="M17" s="29">
        <f t="shared" si="3"/>
        <v>3.6100241811387122</v>
      </c>
      <c r="N17" s="29">
        <f t="shared" si="3"/>
        <v>3.26715541503075</v>
      </c>
      <c r="O17" s="29">
        <f t="shared" si="3"/>
        <v>3.121034525477191</v>
      </c>
      <c r="P17" s="29">
        <f t="shared" si="3"/>
        <v>3.1683443656731036</v>
      </c>
      <c r="Q17" s="29">
        <f t="shared" si="3"/>
        <v>3.8304567839877106</v>
      </c>
      <c r="R17" s="29">
        <f t="shared" si="3"/>
        <v>4.3886914145004585</v>
      </c>
      <c r="S17" s="29">
        <f t="shared" si="3"/>
        <v>3.7685694577634217</v>
      </c>
      <c r="T17" s="29">
        <f t="shared" si="3"/>
        <v>3.3670298548558395</v>
      </c>
      <c r="U17" s="29">
        <f t="shared" si="3"/>
        <v>3.1818181818181817</v>
      </c>
      <c r="V17" s="29">
        <f t="shared" si="3"/>
        <v>3.1824859570790722</v>
      </c>
    </row>
    <row r="18" spans="2:22" s="10" customFormat="1" x14ac:dyDescent="0.55000000000000004"/>
    <row r="19" spans="2:22" s="10" customFormat="1" x14ac:dyDescent="0.55000000000000004">
      <c r="B19" s="10" t="s">
        <v>125</v>
      </c>
      <c r="D19" s="29">
        <f t="shared" ref="D19:L19" si="4">365/D15</f>
        <v>21.962946763309173</v>
      </c>
      <c r="E19" s="29">
        <f t="shared" si="4"/>
        <v>19.758542050092021</v>
      </c>
      <c r="F19" s="29">
        <f t="shared" si="4"/>
        <v>31.812550984733715</v>
      </c>
      <c r="G19" s="29">
        <f t="shared" si="4"/>
        <v>41.916941356841704</v>
      </c>
      <c r="H19" s="29">
        <f t="shared" si="4"/>
        <v>36.485163835231731</v>
      </c>
      <c r="I19" s="29">
        <f t="shared" si="4"/>
        <v>35.459161831983032</v>
      </c>
      <c r="J19" s="29">
        <f t="shared" si="4"/>
        <v>42.000307179217131</v>
      </c>
      <c r="K19" s="29">
        <f t="shared" si="4"/>
        <v>47.782762110561016</v>
      </c>
      <c r="L19" s="29">
        <f t="shared" si="4"/>
        <v>44.948184754936563</v>
      </c>
      <c r="M19" s="29">
        <f t="shared" ref="M19:R19" si="5">365/M15</f>
        <v>50.476328493454332</v>
      </c>
      <c r="N19" s="29">
        <f t="shared" si="5"/>
        <v>51.726140101381127</v>
      </c>
      <c r="O19" s="29">
        <f t="shared" si="5"/>
        <v>58.178467215120769</v>
      </c>
      <c r="P19" s="29">
        <f t="shared" si="5"/>
        <v>66.49710386126209</v>
      </c>
      <c r="Q19" s="29">
        <f t="shared" si="5"/>
        <v>55.344671511574958</v>
      </c>
      <c r="R19" s="29">
        <f t="shared" si="5"/>
        <v>44.376170325599951</v>
      </c>
      <c r="S19" s="29">
        <f t="shared" ref="S19:T19" si="6">365/S15</f>
        <v>52.197779187817261</v>
      </c>
      <c r="T19" s="29">
        <f t="shared" si="6"/>
        <v>58.697336814621409</v>
      </c>
      <c r="U19" s="29">
        <f t="shared" ref="U19:V19" si="7">365/U15</f>
        <v>59.744245524296673</v>
      </c>
      <c r="V19" s="29">
        <f t="shared" si="7"/>
        <v>60.937119287967874</v>
      </c>
    </row>
    <row r="20" spans="2:22" s="10" customFormat="1" x14ac:dyDescent="0.55000000000000004">
      <c r="B20" s="10" t="s">
        <v>126</v>
      </c>
      <c r="D20" s="29">
        <f t="shared" ref="D20:L20" si="8">365/D16</f>
        <v>7.0918496088821597</v>
      </c>
      <c r="E20" s="29">
        <f t="shared" si="8"/>
        <v>6.4228821931341074</v>
      </c>
      <c r="F20" s="29">
        <f t="shared" si="8"/>
        <v>6.8500564575789431</v>
      </c>
      <c r="G20" s="29">
        <f t="shared" si="8"/>
        <v>6.9508864216888808</v>
      </c>
      <c r="H20" s="29">
        <f t="shared" si="8"/>
        <v>5.1749546025981283</v>
      </c>
      <c r="I20" s="29">
        <f t="shared" si="8"/>
        <v>3.2554413405277418</v>
      </c>
      <c r="J20" s="29">
        <f t="shared" si="8"/>
        <v>4.3739329868862917</v>
      </c>
      <c r="K20" s="29">
        <f t="shared" si="8"/>
        <v>6.2996623848634394</v>
      </c>
      <c r="L20" s="29">
        <f t="shared" si="8"/>
        <v>5.8102349220852467</v>
      </c>
      <c r="M20" s="29">
        <f t="shared" ref="M20:N20" si="9">365/M16</f>
        <v>6.2247480513944708</v>
      </c>
      <c r="N20" s="29">
        <f t="shared" si="9"/>
        <v>9.0403798706823206</v>
      </c>
      <c r="O20" s="29">
        <f t="shared" ref="O20:P20" si="10">365/O16</f>
        <v>9.8195333300764549</v>
      </c>
      <c r="P20" s="29">
        <f t="shared" si="10"/>
        <v>9.0944295409872531</v>
      </c>
      <c r="Q20" s="29">
        <f t="shared" ref="Q20:R20" si="11">365/Q16</f>
        <v>8.7903178244740765</v>
      </c>
      <c r="R20" s="29">
        <f t="shared" si="11"/>
        <v>9.1181020842234748</v>
      </c>
      <c r="S20" s="29">
        <f t="shared" ref="S20:T20" si="12">365/S16</f>
        <v>9.3906026785714278</v>
      </c>
      <c r="T20" s="29">
        <f t="shared" si="12"/>
        <v>9.3347897196261691</v>
      </c>
      <c r="U20" s="29">
        <f t="shared" ref="U20:V20" si="13">365/U16</f>
        <v>11.297619047619047</v>
      </c>
      <c r="V20" s="29">
        <f t="shared" si="13"/>
        <v>10.504322049239683</v>
      </c>
    </row>
    <row r="21" spans="2:22" s="10" customFormat="1" x14ac:dyDescent="0.55000000000000004">
      <c r="B21" s="10" t="s">
        <v>127</v>
      </c>
      <c r="D21" s="29">
        <f t="shared" ref="D21:K21" si="14">365/D17</f>
        <v>96.246530406257875</v>
      </c>
      <c r="E21" s="29">
        <f t="shared" si="14"/>
        <v>78.802379188276916</v>
      </c>
      <c r="F21" s="29">
        <f t="shared" si="14"/>
        <v>79.024354631468285</v>
      </c>
      <c r="G21" s="29">
        <f t="shared" si="14"/>
        <v>81.305986191548016</v>
      </c>
      <c r="H21" s="29">
        <f t="shared" si="14"/>
        <v>75.477293538824483</v>
      </c>
      <c r="I21" s="29">
        <f t="shared" si="14"/>
        <v>74.389016005281974</v>
      </c>
      <c r="J21" s="29">
        <f t="shared" si="14"/>
        <v>74.540035270059846</v>
      </c>
      <c r="K21" s="29">
        <f t="shared" si="14"/>
        <v>85.452684886600522</v>
      </c>
      <c r="L21" s="29">
        <f t="shared" ref="L21:Q21" si="15">365/L17</f>
        <v>85.571993518406174</v>
      </c>
      <c r="M21" s="29">
        <f t="shared" si="15"/>
        <v>101.1073559858726</v>
      </c>
      <c r="N21" s="29">
        <f t="shared" si="15"/>
        <v>111.71797898587712</v>
      </c>
      <c r="O21" s="29">
        <f t="shared" si="15"/>
        <v>116.94840189061776</v>
      </c>
      <c r="P21" s="29">
        <f t="shared" si="15"/>
        <v>115.20212384566885</v>
      </c>
      <c r="Q21" s="29">
        <f t="shared" si="15"/>
        <v>95.288896490307209</v>
      </c>
      <c r="R21" s="29">
        <f t="shared" ref="R21:S21" si="16">365/R17</f>
        <v>83.168299050150011</v>
      </c>
      <c r="S21" s="29">
        <f t="shared" si="16"/>
        <v>96.853727678571417</v>
      </c>
      <c r="T21" s="29">
        <f t="shared" ref="T21:U21" si="17">365/T17</f>
        <v>108.40414719626168</v>
      </c>
      <c r="U21" s="29">
        <f t="shared" si="17"/>
        <v>114.71428571428572</v>
      </c>
      <c r="V21" s="29">
        <f t="shared" ref="V21" si="18">365/V17</f>
        <v>114.69021542360609</v>
      </c>
    </row>
    <row r="22" spans="2:22" s="10" customFormat="1" x14ac:dyDescent="0.55000000000000004"/>
    <row r="23" spans="2:22" s="10" customFormat="1" x14ac:dyDescent="0.55000000000000004">
      <c r="B23" s="10" t="s">
        <v>214</v>
      </c>
      <c r="D23" s="29">
        <f t="shared" ref="D23:L23" si="19">D19+D20-D21</f>
        <v>-67.191734034066542</v>
      </c>
      <c r="E23" s="29">
        <f t="shared" si="19"/>
        <v>-52.620954945050784</v>
      </c>
      <c r="F23" s="29">
        <f t="shared" si="19"/>
        <v>-40.361747189155629</v>
      </c>
      <c r="G23" s="29">
        <f t="shared" si="19"/>
        <v>-32.438158413017433</v>
      </c>
      <c r="H23" s="29">
        <f t="shared" si="19"/>
        <v>-33.817175100994625</v>
      </c>
      <c r="I23" s="29">
        <f t="shared" si="19"/>
        <v>-35.674412832771203</v>
      </c>
      <c r="J23" s="29">
        <f t="shared" si="19"/>
        <v>-28.165795103956427</v>
      </c>
      <c r="K23" s="29">
        <f t="shared" si="19"/>
        <v>-31.370260391176068</v>
      </c>
      <c r="L23" s="29">
        <f t="shared" si="19"/>
        <v>-34.813573841384368</v>
      </c>
      <c r="M23" s="29">
        <f t="shared" ref="M23:N23" si="20">M19+M20-M21</f>
        <v>-44.406279441023798</v>
      </c>
      <c r="N23" s="29">
        <f t="shared" si="20"/>
        <v>-50.951459013813675</v>
      </c>
      <c r="O23" s="29">
        <f t="shared" ref="O23:P23" si="21">O19+O20-O21</f>
        <v>-48.950401345420531</v>
      </c>
      <c r="P23" s="29">
        <f t="shared" si="21"/>
        <v>-39.610590443419511</v>
      </c>
      <c r="Q23" s="29">
        <f t="shared" ref="Q23:R23" si="22">Q19+Q20-Q21</f>
        <v>-31.153907154258178</v>
      </c>
      <c r="R23" s="29">
        <f t="shared" si="22"/>
        <v>-29.674026640326588</v>
      </c>
      <c r="S23" s="29">
        <f t="shared" ref="S23:T23" si="23">S19+S20-S21</f>
        <v>-35.26534581218273</v>
      </c>
      <c r="T23" s="29">
        <f t="shared" si="23"/>
        <v>-40.372020662014094</v>
      </c>
      <c r="U23" s="29">
        <f t="shared" ref="U23:V23" si="24">U19+U20-U21</f>
        <v>-43.672421142369998</v>
      </c>
      <c r="V23" s="29">
        <f t="shared" si="24"/>
        <v>-43.248774086398541</v>
      </c>
    </row>
    <row r="24" spans="2:22" s="10" customFormat="1" x14ac:dyDescent="0.55000000000000004">
      <c r="B24" s="10" t="s">
        <v>213</v>
      </c>
    </row>
    <row r="25" spans="2:22" s="10" customFormat="1" x14ac:dyDescent="0.55000000000000004"/>
  </sheetData>
  <phoneticPr fontId="16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V17"/>
  <sheetViews>
    <sheetView zoomScaleNormal="100" workbookViewId="0"/>
  </sheetViews>
  <sheetFormatPr defaultColWidth="9.1015625" defaultRowHeight="13.8" x14ac:dyDescent="0.55000000000000004"/>
  <cols>
    <col min="1" max="1" width="5" style="10" customWidth="1"/>
    <col min="2" max="2" width="29" style="10" customWidth="1"/>
    <col min="3" max="18" width="8.68359375" style="10" customWidth="1"/>
    <col min="19" max="16384" width="9.1015625" style="10"/>
  </cols>
  <sheetData>
    <row r="2" spans="2:22" ht="14.1" x14ac:dyDescent="0.55000000000000004">
      <c r="B2" s="18" t="s">
        <v>129</v>
      </c>
    </row>
    <row r="4" spans="2:22" ht="14.1" x14ac:dyDescent="0.55000000000000004">
      <c r="B4" s="21"/>
      <c r="C4" s="27" t="s">
        <v>10</v>
      </c>
      <c r="D4" s="27" t="s">
        <v>9</v>
      </c>
      <c r="E4" s="27" t="s">
        <v>8</v>
      </c>
      <c r="F4" s="27" t="s">
        <v>7</v>
      </c>
      <c r="G4" s="27" t="s">
        <v>6</v>
      </c>
      <c r="H4" s="27" t="s">
        <v>5</v>
      </c>
      <c r="I4" s="27" t="s">
        <v>4</v>
      </c>
      <c r="J4" s="27" t="s">
        <v>3</v>
      </c>
      <c r="K4" s="27" t="s">
        <v>2</v>
      </c>
      <c r="L4" s="27" t="s">
        <v>1</v>
      </c>
      <c r="M4" s="27" t="s">
        <v>186</v>
      </c>
      <c r="N4" s="27" t="s">
        <v>187</v>
      </c>
      <c r="O4" s="27" t="s">
        <v>189</v>
      </c>
      <c r="P4" s="27" t="s">
        <v>191</v>
      </c>
      <c r="Q4" s="27" t="s">
        <v>205</v>
      </c>
      <c r="R4" s="27" t="s">
        <v>211</v>
      </c>
      <c r="S4" s="27" t="s">
        <v>336</v>
      </c>
      <c r="T4" s="27" t="s">
        <v>338</v>
      </c>
      <c r="U4" s="27" t="s">
        <v>344</v>
      </c>
      <c r="V4" s="27" t="s">
        <v>348</v>
      </c>
    </row>
    <row r="5" spans="2:22" x14ac:dyDescent="0.55000000000000004">
      <c r="B5" s="10" t="s">
        <v>130</v>
      </c>
      <c r="C5" s="28">
        <f>BS!C6</f>
        <v>6.3920000000000003</v>
      </c>
      <c r="D5" s="28">
        <f>BS!D6</f>
        <v>9.3520000000000003</v>
      </c>
      <c r="E5" s="28">
        <f>BS!E6</f>
        <v>11.875</v>
      </c>
      <c r="F5" s="28">
        <f>BS!F6</f>
        <v>5.2629999999999999</v>
      </c>
      <c r="G5" s="28">
        <f>BS!G6</f>
        <v>11.260999999999999</v>
      </c>
      <c r="H5" s="28">
        <f>BS!H6</f>
        <v>9.8149999999999995</v>
      </c>
      <c r="I5" s="28">
        <f>BS!I6</f>
        <v>10.746</v>
      </c>
      <c r="J5" s="28">
        <f>BS!J6</f>
        <v>14.259</v>
      </c>
      <c r="K5" s="28">
        <f>BS!K6</f>
        <v>13.843999999999999</v>
      </c>
      <c r="L5" s="28">
        <f>BS!L6</f>
        <v>21.12</v>
      </c>
      <c r="M5" s="28">
        <f>BS!M6</f>
        <v>20.484000000000002</v>
      </c>
      <c r="N5" s="28">
        <f>BS!N6</f>
        <v>20.289000000000001</v>
      </c>
      <c r="O5" s="28">
        <f>BS!O6</f>
        <v>25.913</v>
      </c>
      <c r="P5" s="28">
        <f>BS!P6</f>
        <v>48.844000000000001</v>
      </c>
      <c r="Q5" s="28">
        <f>BS!Q6</f>
        <v>38.015999999999998</v>
      </c>
      <c r="R5" s="28">
        <f>BS!R6</f>
        <v>34.94</v>
      </c>
      <c r="S5" s="28">
        <f>BS!S6</f>
        <v>23.646000000000001</v>
      </c>
      <c r="T5" s="28">
        <f>BS!T6</f>
        <v>30</v>
      </c>
      <c r="U5" s="28">
        <f>BS!U6</f>
        <v>30</v>
      </c>
      <c r="V5" s="28">
        <f>BS!V6</f>
        <v>35.933999999999997</v>
      </c>
    </row>
    <row r="6" spans="2:22" x14ac:dyDescent="0.55000000000000004">
      <c r="B6" s="10" t="s">
        <v>133</v>
      </c>
      <c r="C6" s="28">
        <f>BS!C7</f>
        <v>3.718</v>
      </c>
      <c r="D6" s="28">
        <f>BS!D7</f>
        <v>6.0339999999999998</v>
      </c>
      <c r="E6" s="28">
        <f>BS!E7</f>
        <v>10.236000000000001</v>
      </c>
      <c r="F6" s="28">
        <f>BS!F7</f>
        <v>18.201000000000001</v>
      </c>
      <c r="G6" s="28">
        <f>BS!G7</f>
        <v>14.359</v>
      </c>
      <c r="H6" s="28">
        <f>BS!H7</f>
        <v>16.137</v>
      </c>
      <c r="I6" s="28">
        <f>BS!I7</f>
        <v>18.382999999999999</v>
      </c>
      <c r="J6" s="28">
        <f>BS!J7</f>
        <v>26.286999999999999</v>
      </c>
      <c r="K6" s="28">
        <f>BS!K7</f>
        <v>11.233000000000001</v>
      </c>
      <c r="L6" s="28">
        <f>BS!L7</f>
        <v>20.481000000000002</v>
      </c>
      <c r="M6" s="28">
        <f>BS!M7</f>
        <v>46.670999999999999</v>
      </c>
      <c r="N6" s="28">
        <f>BS!N7</f>
        <v>53.892000000000003</v>
      </c>
      <c r="O6" s="28">
        <f>BS!O7</f>
        <v>40.387999999999998</v>
      </c>
      <c r="P6" s="28">
        <f>BS!P7</f>
        <v>51.713000000000001</v>
      </c>
      <c r="Q6" s="28">
        <f>BS!Q7</f>
        <v>52.927</v>
      </c>
      <c r="R6" s="28">
        <f>BS!R7</f>
        <v>27.699000000000002</v>
      </c>
      <c r="S6" s="28">
        <f>BS!S7</f>
        <v>24.658000000000001</v>
      </c>
      <c r="T6" s="28">
        <f>BS!T7</f>
        <v>32</v>
      </c>
      <c r="U6" s="28">
        <f>BS!U7</f>
        <v>35</v>
      </c>
      <c r="V6" s="28">
        <f>BS!V7</f>
        <v>18.763000000000002</v>
      </c>
    </row>
    <row r="7" spans="2:22" x14ac:dyDescent="0.55000000000000004">
      <c r="B7" s="10" t="s">
        <v>104</v>
      </c>
      <c r="C7" s="28">
        <f>BS!C8+BS!C11</f>
        <v>1.252</v>
      </c>
      <c r="D7" s="28">
        <f>BS!D8+BS!D11</f>
        <v>1.637</v>
      </c>
      <c r="E7" s="28">
        <f>BS!E8+BS!E11</f>
        <v>2.4220000000000002</v>
      </c>
      <c r="F7" s="28">
        <f>BS!F8+BS!F11</f>
        <v>5.0570000000000004</v>
      </c>
      <c r="G7" s="28">
        <f>BS!G8+BS!G11</f>
        <v>9.9239999999999995</v>
      </c>
      <c r="H7" s="28">
        <f>BS!H8+BS!H11</f>
        <v>11.716999999999999</v>
      </c>
      <c r="I7" s="28">
        <f>BS!I8+BS!I11</f>
        <v>18.692</v>
      </c>
      <c r="J7" s="28">
        <f>BS!J8+BS!J11</f>
        <v>20.640999999999998</v>
      </c>
      <c r="K7" s="28">
        <f>BS!K8+BS!K11</f>
        <v>27.219000000000001</v>
      </c>
      <c r="L7" s="28">
        <f>BS!L8+BS!L11</f>
        <v>30.343</v>
      </c>
      <c r="M7" s="28">
        <f>BS!M8+BS!M11</f>
        <v>29.298999999999999</v>
      </c>
      <c r="N7" s="28">
        <f>BS!N8+BS!N11</f>
        <v>35.673000000000002</v>
      </c>
      <c r="O7" s="28">
        <f>BS!O8+BS!O11</f>
        <v>48.995000000000005</v>
      </c>
      <c r="P7" s="28">
        <f>BS!P8+BS!P11</f>
        <v>45.804000000000002</v>
      </c>
      <c r="Q7" s="28">
        <f>BS!Q8+BS!Q11</f>
        <v>37.445</v>
      </c>
      <c r="R7" s="28">
        <f>BS!R8+BS!R11</f>
        <v>51.506</v>
      </c>
      <c r="S7" s="28">
        <f>BS!S8+BS!S11</f>
        <v>61.183999999999997</v>
      </c>
      <c r="T7" s="28">
        <f>BS!T8+BS!T11</f>
        <v>62</v>
      </c>
      <c r="U7" s="28">
        <f>BS!U8+BS!U11</f>
        <v>66</v>
      </c>
      <c r="V7" s="28">
        <f>BS!V8+BS!V11</f>
        <v>72.956999999999994</v>
      </c>
    </row>
    <row r="8" spans="2:22" x14ac:dyDescent="0.55000000000000004">
      <c r="B8" s="10" t="s">
        <v>119</v>
      </c>
      <c r="C8" s="28">
        <f>BS!C9</f>
        <v>0.27</v>
      </c>
      <c r="D8" s="28">
        <f>BS!D9</f>
        <v>0.34599999999999997</v>
      </c>
      <c r="E8" s="28">
        <f>BS!E9</f>
        <v>0.50900000000000001</v>
      </c>
      <c r="F8" s="28">
        <f>BS!F9</f>
        <v>0.45500000000000002</v>
      </c>
      <c r="G8" s="28">
        <f>BS!G9</f>
        <v>1.0509999999999999</v>
      </c>
      <c r="H8" s="28">
        <f>BS!H9</f>
        <v>0.77600000000000002</v>
      </c>
      <c r="I8" s="28">
        <f>BS!I9</f>
        <v>0.79100000000000004</v>
      </c>
      <c r="J8" s="28">
        <f>BS!J9</f>
        <v>1.764</v>
      </c>
      <c r="K8" s="28">
        <f>BS!K9</f>
        <v>2.1110000000000002</v>
      </c>
      <c r="L8" s="28">
        <f>BS!L9</f>
        <v>2.3490000000000002</v>
      </c>
      <c r="M8" s="28">
        <f>BS!M9</f>
        <v>2.1320000000000001</v>
      </c>
      <c r="N8" s="28">
        <f>BS!N9</f>
        <v>4.8550000000000004</v>
      </c>
      <c r="O8" s="28">
        <f>BS!O9</f>
        <v>3.956</v>
      </c>
      <c r="P8" s="28">
        <f>BS!P9</f>
        <v>4.1059999999999999</v>
      </c>
      <c r="Q8" s="28">
        <f>BS!Q9</f>
        <v>4.0609999999999999</v>
      </c>
      <c r="R8" s="28">
        <f>BS!R9</f>
        <v>6.58</v>
      </c>
      <c r="S8" s="28">
        <f>BS!S9</f>
        <v>4.9459999999999997</v>
      </c>
      <c r="T8" s="28">
        <f>BS!T9</f>
        <v>6</v>
      </c>
      <c r="U8" s="28">
        <f>BS!U9</f>
        <v>7</v>
      </c>
      <c r="V8" s="28">
        <f>BS!V9</f>
        <v>5.718</v>
      </c>
    </row>
    <row r="9" spans="2:22" x14ac:dyDescent="0.55000000000000004">
      <c r="B9" s="10" t="s">
        <v>131</v>
      </c>
      <c r="C9" s="28">
        <f>BS!C5</f>
        <v>14.509</v>
      </c>
      <c r="D9" s="28">
        <f>BS!D5</f>
        <v>21.956</v>
      </c>
      <c r="E9" s="28">
        <f>BS!E5</f>
        <v>32.311</v>
      </c>
      <c r="F9" s="28">
        <f>BS!F5</f>
        <v>31.555</v>
      </c>
      <c r="G9" s="28">
        <f>BS!G5</f>
        <v>41.677999999999997</v>
      </c>
      <c r="H9" s="28">
        <f>BS!H5</f>
        <v>44.988</v>
      </c>
      <c r="I9" s="28">
        <f>BS!I5</f>
        <v>57.652999999999999</v>
      </c>
      <c r="J9" s="28">
        <f>BS!J5</f>
        <v>73.286000000000001</v>
      </c>
      <c r="K9" s="28">
        <f>BS!K5</f>
        <v>68.531000000000006</v>
      </c>
      <c r="L9" s="28">
        <f>BS!L5</f>
        <v>89.378</v>
      </c>
      <c r="M9" s="28">
        <f>BS!M5</f>
        <v>106.869</v>
      </c>
      <c r="N9" s="28">
        <f>BS!N5</f>
        <v>128.64500000000001</v>
      </c>
      <c r="O9" s="28">
        <f>BS!O5</f>
        <v>131.339</v>
      </c>
      <c r="P9" s="28">
        <f>BS!P5</f>
        <v>162.81899999999999</v>
      </c>
      <c r="Q9" s="28">
        <f>BS!Q5</f>
        <v>143.71299999999999</v>
      </c>
      <c r="R9" s="28">
        <f>BS!R5</f>
        <v>134.83600000000001</v>
      </c>
      <c r="S9" s="28">
        <f>BS!S5</f>
        <v>135.405</v>
      </c>
      <c r="T9" s="28">
        <f>BS!T5</f>
        <v>144</v>
      </c>
      <c r="U9" s="28">
        <f>BS!U5</f>
        <v>153</v>
      </c>
      <c r="V9" s="28">
        <f>BS!V5</f>
        <v>147.95699999999999</v>
      </c>
    </row>
    <row r="10" spans="2:22" x14ac:dyDescent="0.55000000000000004">
      <c r="B10" s="10" t="s">
        <v>132</v>
      </c>
      <c r="C10" s="28">
        <f>BS!C22</f>
        <v>6.4429999999999996</v>
      </c>
      <c r="D10" s="28">
        <f>BS!D22</f>
        <v>9.2799999999999994</v>
      </c>
      <c r="E10" s="28">
        <f>BS!E22</f>
        <v>14.092000000000001</v>
      </c>
      <c r="F10" s="28">
        <f>BS!F22</f>
        <v>11.506</v>
      </c>
      <c r="G10" s="28">
        <f>BS!G22</f>
        <v>20.722000000000001</v>
      </c>
      <c r="H10" s="28">
        <f>BS!H22</f>
        <v>27.97</v>
      </c>
      <c r="I10" s="28">
        <f>BS!I22</f>
        <v>38.542000000000002</v>
      </c>
      <c r="J10" s="28">
        <f>BS!J22</f>
        <v>43.658000000000001</v>
      </c>
      <c r="K10" s="28">
        <f>BS!K22</f>
        <v>63.448</v>
      </c>
      <c r="L10" s="28">
        <f>BS!L22</f>
        <v>80.61</v>
      </c>
      <c r="M10" s="28">
        <f>BS!M22</f>
        <v>79.006</v>
      </c>
      <c r="N10" s="28">
        <f>BS!N22</f>
        <v>100.81399999999999</v>
      </c>
      <c r="O10" s="28">
        <f>BS!O22</f>
        <v>116.866</v>
      </c>
      <c r="P10" s="28">
        <f>BS!P22</f>
        <v>105.718</v>
      </c>
      <c r="Q10" s="28">
        <f>BS!Q22</f>
        <v>105.392</v>
      </c>
      <c r="R10" s="28">
        <f>BS!R22</f>
        <v>125.48099999999999</v>
      </c>
      <c r="S10" s="28">
        <f>BS!S22</f>
        <v>153.982</v>
      </c>
      <c r="T10" s="28">
        <f>BS!T22</f>
        <v>145</v>
      </c>
      <c r="U10" s="28">
        <f>BS!U22</f>
        <v>176</v>
      </c>
      <c r="V10" s="28">
        <f>BS!V22</f>
        <v>165.631</v>
      </c>
    </row>
    <row r="11" spans="2:22" x14ac:dyDescent="0.55000000000000004">
      <c r="B11" s="10" t="s">
        <v>137</v>
      </c>
      <c r="C11" s="28">
        <f>CF!C4/1000</f>
        <v>2.2200000000000002</v>
      </c>
      <c r="D11" s="28">
        <f>CF!D4/1000</f>
        <v>5.47</v>
      </c>
      <c r="E11" s="28">
        <f>CF!E4/1000</f>
        <v>9.5960000000000001</v>
      </c>
      <c r="F11" s="28">
        <f>CF!F4/1000</f>
        <v>10.159000000000001</v>
      </c>
      <c r="G11" s="28">
        <f>CF!G4/1000</f>
        <v>18.594999999999999</v>
      </c>
      <c r="H11" s="28">
        <f>CF!H4/1000</f>
        <v>37.529000000000003</v>
      </c>
      <c r="I11" s="28">
        <f>CF!I4/1000</f>
        <v>50.856000000000002</v>
      </c>
      <c r="J11" s="28">
        <f>CF!J4/1000</f>
        <v>53.665999999999997</v>
      </c>
      <c r="K11" s="28">
        <f>CF!K4/1000</f>
        <v>59.713000000000001</v>
      </c>
      <c r="L11" s="28">
        <f>CF!L4/1000</f>
        <v>81.266000000000005</v>
      </c>
      <c r="M11" s="28">
        <f>CF!M4/1000</f>
        <v>65.823999999999998</v>
      </c>
      <c r="N11" s="28">
        <f>CF!N4/1000</f>
        <v>63.597999999999999</v>
      </c>
      <c r="O11" s="28">
        <f>CF!O4/1000</f>
        <v>77.433999999999997</v>
      </c>
      <c r="P11" s="28">
        <f>CF!P4/1000</f>
        <v>69.391000000000005</v>
      </c>
      <c r="Q11" s="28">
        <f>CF!Q4/1000</f>
        <v>80.674000000000007</v>
      </c>
      <c r="R11" s="28">
        <f>CF!R4/1000</f>
        <v>104.038</v>
      </c>
      <c r="S11" s="28">
        <f>CF!S4/1000</f>
        <v>122.151</v>
      </c>
      <c r="T11" s="28">
        <f>CF!T4/1000</f>
        <v>110.54300000000001</v>
      </c>
      <c r="U11" s="28">
        <f>CF!U4/1000</f>
        <v>118.254</v>
      </c>
      <c r="V11" s="28">
        <f>CF!V4/1000</f>
        <v>111.482</v>
      </c>
    </row>
    <row r="12" spans="2:22" x14ac:dyDescent="0.55000000000000004"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2:22" ht="14.1" x14ac:dyDescent="0.55000000000000004">
      <c r="B13" s="20" t="s">
        <v>151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2:22" ht="14.1" x14ac:dyDescent="0.55000000000000004">
      <c r="B14" s="10" t="s">
        <v>134</v>
      </c>
      <c r="C14" s="30">
        <f>C9/C10</f>
        <v>2.2519012882197735</v>
      </c>
      <c r="D14" s="30">
        <f t="shared" ref="D14:L14" si="0">D9/D10</f>
        <v>2.3659482758620691</v>
      </c>
      <c r="E14" s="30">
        <f t="shared" si="0"/>
        <v>2.2928611978427478</v>
      </c>
      <c r="F14" s="30">
        <f t="shared" si="0"/>
        <v>2.7424821832087605</v>
      </c>
      <c r="G14" s="30">
        <f t="shared" si="0"/>
        <v>2.0112923462986196</v>
      </c>
      <c r="H14" s="30">
        <f t="shared" si="0"/>
        <v>1.6084376117268502</v>
      </c>
      <c r="I14" s="30">
        <f t="shared" si="0"/>
        <v>1.4958486845519172</v>
      </c>
      <c r="J14" s="30">
        <f t="shared" si="0"/>
        <v>1.6786385084062485</v>
      </c>
      <c r="K14" s="30">
        <f t="shared" si="0"/>
        <v>1.0801128483167319</v>
      </c>
      <c r="L14" s="30">
        <f t="shared" si="0"/>
        <v>1.1087706239920605</v>
      </c>
      <c r="M14" s="30">
        <f t="shared" ref="M14:N14" si="1">M9/M10</f>
        <v>1.352669417512594</v>
      </c>
      <c r="N14" s="30">
        <f t="shared" si="1"/>
        <v>1.2760628484139109</v>
      </c>
      <c r="O14" s="30">
        <f t="shared" ref="O14:P14" si="2">O9/O10</f>
        <v>1.1238426916297297</v>
      </c>
      <c r="P14" s="30">
        <f t="shared" si="2"/>
        <v>1.540125617208044</v>
      </c>
      <c r="Q14" s="30">
        <f t="shared" ref="Q14:R14" si="3">Q9/Q10</f>
        <v>1.3636044481554577</v>
      </c>
      <c r="R14" s="30">
        <f t="shared" si="3"/>
        <v>1.0745531195957956</v>
      </c>
      <c r="S14" s="30">
        <f t="shared" ref="S14:T14" si="4">S9/S10</f>
        <v>0.87935602862672257</v>
      </c>
      <c r="T14" s="30">
        <f t="shared" si="4"/>
        <v>0.99310344827586206</v>
      </c>
      <c r="U14" s="30">
        <f t="shared" ref="U14:V14" si="5">U9/U10</f>
        <v>0.86931818181818177</v>
      </c>
      <c r="V14" s="30">
        <f t="shared" si="5"/>
        <v>0.89329292221866674</v>
      </c>
    </row>
    <row r="15" spans="2:22" ht="14.1" x14ac:dyDescent="0.55000000000000004">
      <c r="B15" s="10" t="s">
        <v>135</v>
      </c>
      <c r="C15" s="30">
        <f>(C9-C8)/C10</f>
        <v>2.2099953437839517</v>
      </c>
      <c r="D15" s="30">
        <f t="shared" ref="D15:L15" si="6">(D9-D8)/D10</f>
        <v>2.3286637931034484</v>
      </c>
      <c r="E15" s="30">
        <f t="shared" si="6"/>
        <v>2.2567414135679815</v>
      </c>
      <c r="F15" s="30">
        <f t="shared" si="6"/>
        <v>2.7029375977750738</v>
      </c>
      <c r="G15" s="30">
        <f t="shared" si="6"/>
        <v>1.9605733037351603</v>
      </c>
      <c r="H15" s="30">
        <f t="shared" si="6"/>
        <v>1.5806936002860206</v>
      </c>
      <c r="I15" s="30">
        <f t="shared" si="6"/>
        <v>1.4753256188054589</v>
      </c>
      <c r="J15" s="30">
        <f t="shared" si="6"/>
        <v>1.6382335425351597</v>
      </c>
      <c r="K15" s="30">
        <f t="shared" si="6"/>
        <v>1.0468415080065565</v>
      </c>
      <c r="L15" s="30">
        <f t="shared" si="6"/>
        <v>1.0796303188190051</v>
      </c>
      <c r="M15" s="30">
        <f t="shared" ref="M15:N15" si="7">(M9-M8)/M10</f>
        <v>1.3256841252563096</v>
      </c>
      <c r="N15" s="30">
        <f t="shared" si="7"/>
        <v>1.2279048544844964</v>
      </c>
      <c r="O15" s="30">
        <f t="shared" ref="O15:P15" si="8">(O9-O8)/O10</f>
        <v>1.0899919565998666</v>
      </c>
      <c r="P15" s="30">
        <f t="shared" si="8"/>
        <v>1.501286441287198</v>
      </c>
      <c r="Q15" s="30">
        <f t="shared" ref="Q15:R15" si="9">(Q9-Q8)/Q10</f>
        <v>1.325072111735236</v>
      </c>
      <c r="R15" s="30">
        <f t="shared" si="9"/>
        <v>1.0221149018576519</v>
      </c>
      <c r="S15" s="30">
        <f t="shared" ref="S15:T15" si="10">(S9-S8)/S10</f>
        <v>0.84723539114961488</v>
      </c>
      <c r="T15" s="30">
        <f t="shared" si="10"/>
        <v>0.9517241379310345</v>
      </c>
      <c r="U15" s="30">
        <f t="shared" ref="U15:V15" si="11">(U9-U8)/U10</f>
        <v>0.82954545454545459</v>
      </c>
      <c r="V15" s="30">
        <f t="shared" si="11"/>
        <v>0.85877039926100796</v>
      </c>
    </row>
    <row r="16" spans="2:22" ht="14.1" x14ac:dyDescent="0.55000000000000004">
      <c r="B16" s="10" t="s">
        <v>136</v>
      </c>
      <c r="C16" s="30">
        <f>(C5+C6)/C10</f>
        <v>1.569144808319106</v>
      </c>
      <c r="D16" s="30">
        <f t="shared" ref="D16:L16" si="12">(D5+D6)/D10</f>
        <v>1.6579741379310344</v>
      </c>
      <c r="E16" s="30">
        <f t="shared" si="12"/>
        <v>1.5690462673857508</v>
      </c>
      <c r="F16" s="30">
        <f t="shared" si="12"/>
        <v>2.0392838519033547</v>
      </c>
      <c r="G16" s="30">
        <f t="shared" si="12"/>
        <v>1.2363671460283754</v>
      </c>
      <c r="H16" s="30">
        <f t="shared" si="12"/>
        <v>0.92785126921701822</v>
      </c>
      <c r="I16" s="30">
        <f t="shared" si="12"/>
        <v>0.75577292304498978</v>
      </c>
      <c r="J16" s="30">
        <f t="shared" si="12"/>
        <v>0.92871867698932609</v>
      </c>
      <c r="K16" s="30">
        <f t="shared" si="12"/>
        <v>0.39523704450888913</v>
      </c>
      <c r="L16" s="30">
        <f t="shared" si="12"/>
        <v>0.51607740975065131</v>
      </c>
      <c r="M16" s="30">
        <f t="shared" ref="M16:N16" si="13">(M5+M6)/M10</f>
        <v>0.84999873427334638</v>
      </c>
      <c r="N16" s="30">
        <f t="shared" si="13"/>
        <v>0.73582042176681828</v>
      </c>
      <c r="O16" s="30">
        <f t="shared" ref="O16:P16" si="14">(O5+O6)/O10</f>
        <v>0.5673249704790102</v>
      </c>
      <c r="P16" s="30">
        <f t="shared" si="14"/>
        <v>0.95118144497625756</v>
      </c>
      <c r="Q16" s="30">
        <f t="shared" ref="Q16:V16" si="15">(Q5+Q6)/Q10</f>
        <v>0.86290230757552755</v>
      </c>
      <c r="R16" s="30">
        <f t="shared" si="15"/>
        <v>0.49919111259872012</v>
      </c>
      <c r="S16" s="30">
        <f t="shared" si="15"/>
        <v>0.31369900377966259</v>
      </c>
      <c r="T16" s="30">
        <f t="shared" si="15"/>
        <v>0.42758620689655175</v>
      </c>
      <c r="U16" s="30">
        <f t="shared" si="15"/>
        <v>0.36931818181818182</v>
      </c>
      <c r="V16" s="30">
        <f t="shared" si="15"/>
        <v>0.33023407453918652</v>
      </c>
    </row>
    <row r="17" spans="2:22" ht="14.1" x14ac:dyDescent="0.55000000000000004">
      <c r="B17" s="10" t="s">
        <v>138</v>
      </c>
      <c r="C17" s="30">
        <f>C11/C10</f>
        <v>0.34455998758342393</v>
      </c>
      <c r="D17" s="30">
        <f t="shared" ref="D17:L17" si="16">D11/D10</f>
        <v>0.58943965517241381</v>
      </c>
      <c r="E17" s="30">
        <f t="shared" si="16"/>
        <v>0.68095373261424919</v>
      </c>
      <c r="F17" s="30">
        <f t="shared" si="16"/>
        <v>0.88293064488093176</v>
      </c>
      <c r="G17" s="30">
        <f t="shared" si="16"/>
        <v>0.89735546761895557</v>
      </c>
      <c r="H17" s="30">
        <f t="shared" si="16"/>
        <v>1.3417590275294962</v>
      </c>
      <c r="I17" s="30">
        <f t="shared" si="16"/>
        <v>1.3194956151730579</v>
      </c>
      <c r="J17" s="30">
        <f t="shared" si="16"/>
        <v>1.2292363369829125</v>
      </c>
      <c r="K17" s="30">
        <f t="shared" si="16"/>
        <v>0.94113289622998364</v>
      </c>
      <c r="L17" s="30">
        <f t="shared" si="16"/>
        <v>1.0081379481453914</v>
      </c>
      <c r="M17" s="30">
        <f t="shared" ref="M17:N17" si="17">M11/M10</f>
        <v>0.83315191251297371</v>
      </c>
      <c r="N17" s="30">
        <f t="shared" si="17"/>
        <v>0.63084492233221579</v>
      </c>
      <c r="O17" s="30">
        <f t="shared" ref="O17:P17" si="18">O11/O10</f>
        <v>0.66258792120890586</v>
      </c>
      <c r="P17" s="30">
        <f t="shared" si="18"/>
        <v>0.65637828941145315</v>
      </c>
      <c r="Q17" s="30">
        <f t="shared" ref="Q17:R17" si="19">Q11/Q10</f>
        <v>0.76546606953089424</v>
      </c>
      <c r="R17" s="30">
        <f t="shared" si="19"/>
        <v>0.82911357097887328</v>
      </c>
      <c r="S17" s="30">
        <f t="shared" ref="S17:T17" si="20">S11/S10</f>
        <v>0.79328103284799523</v>
      </c>
      <c r="T17" s="30">
        <f t="shared" si="20"/>
        <v>0.76236551724137935</v>
      </c>
      <c r="U17" s="30">
        <f t="shared" ref="U17:V17" si="21">U11/U10</f>
        <v>0.67189772727272734</v>
      </c>
      <c r="V17" s="30">
        <f t="shared" si="21"/>
        <v>0.6730744848488508</v>
      </c>
    </row>
  </sheetData>
  <phoneticPr fontId="16" type="noConversion"/>
  <conditionalFormatting sqref="C14:V17">
    <cfRule type="colorScale" priority="1">
      <colorScale>
        <cfvo type="min"/>
        <cfvo type="max"/>
        <color rgb="FFFFC000"/>
        <color rgb="FF006600"/>
      </colorScale>
    </cfRule>
    <cfRule type="colorScale" priority="2">
      <colorScale>
        <cfvo type="min"/>
        <cfvo type="max"/>
        <color rgb="FFFFC000"/>
        <color rgb="FF0033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V30"/>
  <sheetViews>
    <sheetView zoomScaleNormal="100" workbookViewId="0"/>
  </sheetViews>
  <sheetFormatPr defaultColWidth="9.1015625" defaultRowHeight="13.8" x14ac:dyDescent="0.55000000000000004"/>
  <cols>
    <col min="1" max="1" width="4.1015625" style="10" customWidth="1"/>
    <col min="2" max="2" width="35.26171875" style="10" bestFit="1" customWidth="1"/>
    <col min="3" max="18" width="8.68359375" style="10" customWidth="1"/>
    <col min="19" max="16384" width="9.1015625" style="10"/>
  </cols>
  <sheetData>
    <row r="2" spans="2:22" ht="14.1" x14ac:dyDescent="0.55000000000000004">
      <c r="B2" s="18" t="s">
        <v>139</v>
      </c>
    </row>
    <row r="4" spans="2:22" ht="14.1" x14ac:dyDescent="0.55000000000000004">
      <c r="B4" s="20"/>
      <c r="C4" s="27" t="s">
        <v>10</v>
      </c>
      <c r="D4" s="27" t="s">
        <v>9</v>
      </c>
      <c r="E4" s="27" t="s">
        <v>8</v>
      </c>
      <c r="F4" s="27" t="s">
        <v>7</v>
      </c>
      <c r="G4" s="27" t="s">
        <v>6</v>
      </c>
      <c r="H4" s="27" t="s">
        <v>5</v>
      </c>
      <c r="I4" s="27" t="s">
        <v>4</v>
      </c>
      <c r="J4" s="27" t="s">
        <v>3</v>
      </c>
      <c r="K4" s="27" t="s">
        <v>2</v>
      </c>
      <c r="L4" s="27" t="s">
        <v>1</v>
      </c>
      <c r="M4" s="27" t="s">
        <v>186</v>
      </c>
      <c r="N4" s="27" t="s">
        <v>187</v>
      </c>
      <c r="O4" s="27" t="s">
        <v>189</v>
      </c>
      <c r="P4" s="27" t="s">
        <v>191</v>
      </c>
      <c r="Q4" s="27" t="s">
        <v>205</v>
      </c>
      <c r="R4" s="27" t="s">
        <v>211</v>
      </c>
      <c r="S4" s="27" t="s">
        <v>336</v>
      </c>
      <c r="T4" s="27" t="s">
        <v>338</v>
      </c>
      <c r="U4" s="27" t="s">
        <v>344</v>
      </c>
      <c r="V4" s="27" t="s">
        <v>348</v>
      </c>
    </row>
    <row r="5" spans="2:22" x14ac:dyDescent="0.55000000000000004">
      <c r="B5" s="10" t="s">
        <v>140</v>
      </c>
      <c r="C5" s="14">
        <f>BS!C27+BS!C28</f>
        <v>0</v>
      </c>
      <c r="D5" s="14">
        <f>BS!D27+BS!D28</f>
        <v>0</v>
      </c>
      <c r="E5" s="14">
        <f>BS!E27+BS!E28</f>
        <v>0</v>
      </c>
      <c r="F5" s="14">
        <f>BS!F27+BS!F28</f>
        <v>0</v>
      </c>
      <c r="G5" s="14">
        <f>BS!G27+BS!G28</f>
        <v>0</v>
      </c>
      <c r="H5" s="14">
        <f>BS!H27+BS!H28</f>
        <v>0</v>
      </c>
      <c r="I5" s="14">
        <f>BS!I27+BS!I28</f>
        <v>0</v>
      </c>
      <c r="J5" s="14">
        <f>BS!J27+BS!J28</f>
        <v>0</v>
      </c>
      <c r="K5" s="14">
        <f>BS!K27+BS!K28</f>
        <v>6.3079999999999998</v>
      </c>
      <c r="L5" s="14">
        <f>BS!L27+BS!L28</f>
        <v>10.999000000000001</v>
      </c>
      <c r="M5" s="14">
        <f>BS!M27+BS!M28</f>
        <v>11.605</v>
      </c>
      <c r="N5" s="14">
        <f>BS!N27+BS!N28</f>
        <v>18.472999999999999</v>
      </c>
      <c r="O5" s="14">
        <f>BS!O27+BS!O28</f>
        <v>20.748000000000001</v>
      </c>
      <c r="P5" s="14">
        <f>BS!P27+BS!P28</f>
        <v>16.240000000000002</v>
      </c>
      <c r="Q5" s="14">
        <f>BS!Q27+BS!Q28</f>
        <v>13.769</v>
      </c>
      <c r="R5" s="14">
        <f>BS!R27+BS!R28</f>
        <v>15.6</v>
      </c>
      <c r="S5" s="14">
        <f>BS!S27+BS!S28</f>
        <v>21.11</v>
      </c>
      <c r="T5" s="14">
        <f>BS!T27+BS!T28</f>
        <v>16</v>
      </c>
      <c r="U5" s="14">
        <f>BS!U27+BS!U28</f>
        <v>21</v>
      </c>
      <c r="V5" s="14">
        <f>BS!V27+BS!V28</f>
        <v>20.329000000000001</v>
      </c>
    </row>
    <row r="6" spans="2:22" x14ac:dyDescent="0.55000000000000004">
      <c r="B6" s="10" t="s">
        <v>141</v>
      </c>
      <c r="C6" s="14">
        <f>BS!C29</f>
        <v>0</v>
      </c>
      <c r="D6" s="14">
        <f>BS!D29</f>
        <v>0</v>
      </c>
      <c r="E6" s="14">
        <f>BS!E29</f>
        <v>0</v>
      </c>
      <c r="F6" s="14">
        <f>BS!F29</f>
        <v>0</v>
      </c>
      <c r="G6" s="14">
        <f>BS!G29</f>
        <v>0</v>
      </c>
      <c r="H6" s="14">
        <f>BS!H29</f>
        <v>0</v>
      </c>
      <c r="I6" s="14">
        <f>BS!I29</f>
        <v>0</v>
      </c>
      <c r="J6" s="14">
        <f>BS!J29</f>
        <v>16.96</v>
      </c>
      <c r="K6" s="14">
        <f>BS!K29</f>
        <v>28.986999999999998</v>
      </c>
      <c r="L6" s="14">
        <f>BS!L29</f>
        <v>53.463000000000001</v>
      </c>
      <c r="M6" s="14">
        <f>BS!M29</f>
        <v>75.427000000000007</v>
      </c>
      <c r="N6" s="14">
        <f>BS!N29</f>
        <v>97.206999999999994</v>
      </c>
      <c r="O6" s="14">
        <f>BS!O29</f>
        <v>93.734999999999999</v>
      </c>
      <c r="P6" s="14">
        <f>BS!P29</f>
        <v>91.807000000000002</v>
      </c>
      <c r="Q6" s="14">
        <f>BS!Q29</f>
        <v>98.667000000000002</v>
      </c>
      <c r="R6" s="14">
        <f>BS!R29</f>
        <v>109.10599999999999</v>
      </c>
      <c r="S6" s="14">
        <f>BS!S29</f>
        <v>98.959000000000003</v>
      </c>
      <c r="T6" s="14">
        <f>BS!T29</f>
        <v>95</v>
      </c>
      <c r="U6" s="14">
        <f>BS!U29</f>
        <v>86</v>
      </c>
      <c r="V6" s="14">
        <f>BS!V29</f>
        <v>78.328000000000003</v>
      </c>
    </row>
    <row r="7" spans="2:22" x14ac:dyDescent="0.55000000000000004">
      <c r="B7" s="10" t="s">
        <v>130</v>
      </c>
      <c r="C7" s="14">
        <f>BS!C6</f>
        <v>6.3920000000000003</v>
      </c>
      <c r="D7" s="14">
        <f>BS!D6</f>
        <v>9.3520000000000003</v>
      </c>
      <c r="E7" s="14">
        <f>BS!E6</f>
        <v>11.875</v>
      </c>
      <c r="F7" s="14">
        <f>BS!F6</f>
        <v>5.2629999999999999</v>
      </c>
      <c r="G7" s="14">
        <f>BS!G6</f>
        <v>11.260999999999999</v>
      </c>
      <c r="H7" s="14">
        <f>BS!H6</f>
        <v>9.8149999999999995</v>
      </c>
      <c r="I7" s="14">
        <f>BS!I6</f>
        <v>10.746</v>
      </c>
      <c r="J7" s="14">
        <f>BS!J6</f>
        <v>14.259</v>
      </c>
      <c r="K7" s="14">
        <f>BS!K6</f>
        <v>13.843999999999999</v>
      </c>
      <c r="L7" s="14">
        <f>BS!L6</f>
        <v>21.12</v>
      </c>
      <c r="M7" s="14">
        <f>BS!M6</f>
        <v>20.484000000000002</v>
      </c>
      <c r="N7" s="14">
        <f>BS!N6</f>
        <v>20.289000000000001</v>
      </c>
      <c r="O7" s="14">
        <f>BS!O6</f>
        <v>25.913</v>
      </c>
      <c r="P7" s="14">
        <f>BS!P6</f>
        <v>48.844000000000001</v>
      </c>
      <c r="Q7" s="14">
        <f>BS!Q6</f>
        <v>38.015999999999998</v>
      </c>
      <c r="R7" s="14">
        <f>BS!R6</f>
        <v>34.94</v>
      </c>
      <c r="S7" s="14">
        <f>BS!S6</f>
        <v>23.646000000000001</v>
      </c>
      <c r="T7" s="14">
        <f>BS!T6</f>
        <v>30</v>
      </c>
      <c r="U7" s="14">
        <f>BS!U6</f>
        <v>30</v>
      </c>
      <c r="V7" s="14">
        <f>BS!V6</f>
        <v>35.933999999999997</v>
      </c>
    </row>
    <row r="8" spans="2:22" x14ac:dyDescent="0.55000000000000004">
      <c r="B8" s="10" t="s">
        <v>133</v>
      </c>
      <c r="C8" s="14">
        <f>BS!C7</f>
        <v>3.718</v>
      </c>
      <c r="D8" s="14">
        <f>BS!D7</f>
        <v>6.0339999999999998</v>
      </c>
      <c r="E8" s="14">
        <f>BS!E7</f>
        <v>10.236000000000001</v>
      </c>
      <c r="F8" s="14">
        <f>BS!F7</f>
        <v>18.201000000000001</v>
      </c>
      <c r="G8" s="14">
        <f>BS!G7</f>
        <v>14.359</v>
      </c>
      <c r="H8" s="14">
        <f>BS!H7</f>
        <v>16.137</v>
      </c>
      <c r="I8" s="14">
        <f>BS!I7</f>
        <v>18.382999999999999</v>
      </c>
      <c r="J8" s="14">
        <f>BS!J7</f>
        <v>26.286999999999999</v>
      </c>
      <c r="K8" s="14">
        <f>BS!K7</f>
        <v>11.233000000000001</v>
      </c>
      <c r="L8" s="14">
        <f>BS!L7</f>
        <v>20.481000000000002</v>
      </c>
      <c r="M8" s="14">
        <f>BS!M7</f>
        <v>46.670999999999999</v>
      </c>
      <c r="N8" s="14">
        <f>BS!N7</f>
        <v>53.892000000000003</v>
      </c>
      <c r="O8" s="14">
        <f>BS!O7</f>
        <v>40.387999999999998</v>
      </c>
      <c r="P8" s="14">
        <f>BS!P7</f>
        <v>51.713000000000001</v>
      </c>
      <c r="Q8" s="14">
        <f>BS!Q7</f>
        <v>52.927</v>
      </c>
      <c r="R8" s="14">
        <f>BS!R7</f>
        <v>27.699000000000002</v>
      </c>
      <c r="S8" s="14">
        <f>BS!S7</f>
        <v>24.658000000000001</v>
      </c>
      <c r="T8" s="14">
        <f>BS!T7</f>
        <v>32</v>
      </c>
      <c r="U8" s="14">
        <f>BS!U7</f>
        <v>35</v>
      </c>
      <c r="V8" s="14">
        <f>BS!V7</f>
        <v>18.763000000000002</v>
      </c>
    </row>
    <row r="9" spans="2:22" x14ac:dyDescent="0.55000000000000004">
      <c r="B9" s="10" t="s">
        <v>149</v>
      </c>
      <c r="C9" s="14">
        <f>BS!C15</f>
        <v>0</v>
      </c>
      <c r="D9" s="14">
        <f>BS!D15</f>
        <v>0</v>
      </c>
      <c r="E9" s="14">
        <f>BS!E15</f>
        <v>2.379</v>
      </c>
      <c r="F9" s="14">
        <f>BS!F15</f>
        <v>10.528</v>
      </c>
      <c r="G9" s="14">
        <f>BS!G15</f>
        <v>25.390999999999998</v>
      </c>
      <c r="H9" s="14">
        <f>BS!H15</f>
        <v>55.618000000000002</v>
      </c>
      <c r="I9" s="14">
        <f>BS!I15</f>
        <v>92.122</v>
      </c>
      <c r="J9" s="14">
        <f>BS!J15</f>
        <v>106.215</v>
      </c>
      <c r="K9" s="14">
        <f>BS!K15</f>
        <v>130.16200000000001</v>
      </c>
      <c r="L9" s="14">
        <f>BS!L15</f>
        <v>164.065</v>
      </c>
      <c r="M9" s="14">
        <f>BS!M15</f>
        <v>170.43</v>
      </c>
      <c r="N9" s="14">
        <f>BS!N15</f>
        <v>194.714</v>
      </c>
      <c r="O9" s="14">
        <f>BS!O15</f>
        <v>170.79900000000001</v>
      </c>
      <c r="P9" s="14">
        <f>BS!P15</f>
        <v>105.34099999999999</v>
      </c>
      <c r="Q9" s="14">
        <f>BS!Q15</f>
        <v>100.887</v>
      </c>
      <c r="R9" s="14">
        <f>BS!R15</f>
        <v>127.877</v>
      </c>
      <c r="S9" s="14">
        <f>BS!S15</f>
        <v>120.80500000000001</v>
      </c>
      <c r="T9" s="14">
        <f>BS!T15</f>
        <v>101</v>
      </c>
      <c r="U9" s="14">
        <f>BS!U15</f>
        <v>91</v>
      </c>
      <c r="V9" s="14">
        <f>BS!V15</f>
        <v>77.722999999999999</v>
      </c>
    </row>
    <row r="10" spans="2:22" x14ac:dyDescent="0.55000000000000004">
      <c r="B10" s="10" t="s">
        <v>160</v>
      </c>
      <c r="C10" s="14">
        <f>BS!C33</f>
        <v>9.984</v>
      </c>
      <c r="D10" s="14">
        <f>BS!D33</f>
        <v>14.532</v>
      </c>
      <c r="E10" s="14">
        <f>BS!E33</f>
        <v>21.03</v>
      </c>
      <c r="F10" s="14">
        <f>BS!F33</f>
        <v>31.64</v>
      </c>
      <c r="G10" s="14">
        <f>BS!G33</f>
        <v>47.790999999999997</v>
      </c>
      <c r="H10" s="14">
        <f>BS!H33</f>
        <v>76.614999999999995</v>
      </c>
      <c r="I10" s="14">
        <f>BS!I33</f>
        <v>118.21</v>
      </c>
      <c r="J10" s="14">
        <f>BS!J33</f>
        <v>123.54900000000001</v>
      </c>
      <c r="K10" s="14">
        <f>BS!K33</f>
        <v>111.547</v>
      </c>
      <c r="L10" s="14">
        <f>BS!L33</f>
        <v>119.355</v>
      </c>
      <c r="M10" s="14">
        <f>BS!M33</f>
        <v>128.249</v>
      </c>
      <c r="N10" s="14">
        <f>BS!N33</f>
        <v>134.047</v>
      </c>
      <c r="O10" s="14">
        <f>BS!O33</f>
        <v>107.14700000000001</v>
      </c>
      <c r="P10" s="14">
        <f>BS!P33</f>
        <v>90.488</v>
      </c>
      <c r="Q10" s="14">
        <f>BS!Q33</f>
        <v>65.338999999999999</v>
      </c>
      <c r="R10" s="14">
        <f>BS!R33</f>
        <v>63.09</v>
      </c>
      <c r="S10" s="14">
        <f>BS!S33</f>
        <v>50.671999999999997</v>
      </c>
      <c r="T10" s="14">
        <f>BS!T33</f>
        <v>62</v>
      </c>
      <c r="U10" s="14">
        <f>BS!U33</f>
        <v>57</v>
      </c>
      <c r="V10" s="14">
        <f>BS!V33</f>
        <v>73.733000000000004</v>
      </c>
    </row>
    <row r="11" spans="2:22" x14ac:dyDescent="0.55000000000000004">
      <c r="B11" s="10" t="s">
        <v>23</v>
      </c>
      <c r="C11" s="14">
        <f>BS!C4</f>
        <v>17.204999999999998</v>
      </c>
      <c r="D11" s="14">
        <f>BS!D4</f>
        <v>25.347000000000001</v>
      </c>
      <c r="E11" s="14">
        <f>BS!E4</f>
        <v>39.572000000000003</v>
      </c>
      <c r="F11" s="14">
        <f>BS!F4</f>
        <v>47.500999999999998</v>
      </c>
      <c r="G11" s="14">
        <f>BS!G4</f>
        <v>75.183000000000007</v>
      </c>
      <c r="H11" s="14">
        <f>BS!H4</f>
        <v>116.371</v>
      </c>
      <c r="I11" s="14">
        <f>BS!I4</f>
        <v>176.06399999999999</v>
      </c>
      <c r="J11" s="14">
        <f>BS!J4</f>
        <v>207</v>
      </c>
      <c r="K11" s="14">
        <f>BS!K4</f>
        <v>231.839</v>
      </c>
      <c r="L11" s="14">
        <f>BS!L4</f>
        <v>290.47899999999998</v>
      </c>
      <c r="M11" s="14">
        <f>BS!M4</f>
        <v>321.68599999999998</v>
      </c>
      <c r="N11" s="14">
        <f>BS!N4</f>
        <v>375.31900000000002</v>
      </c>
      <c r="O11" s="14">
        <f>BS!O4</f>
        <v>365.72500000000002</v>
      </c>
      <c r="P11" s="14">
        <f>BS!P4</f>
        <v>338.51600000000002</v>
      </c>
      <c r="Q11" s="14">
        <f>BS!Q4</f>
        <v>323.88799999999998</v>
      </c>
      <c r="R11" s="14">
        <f>BS!R4</f>
        <v>351.00200000000001</v>
      </c>
      <c r="S11" s="14">
        <f>BS!S4</f>
        <v>352.755</v>
      </c>
      <c r="T11" s="14">
        <f>BS!T4</f>
        <v>353</v>
      </c>
      <c r="U11" s="14">
        <f>BS!U4</f>
        <v>365</v>
      </c>
      <c r="V11" s="14">
        <f>BS!V4</f>
        <v>359.24099999999999</v>
      </c>
    </row>
    <row r="12" spans="2:22" x14ac:dyDescent="0.55000000000000004">
      <c r="B12" s="10" t="s">
        <v>142</v>
      </c>
      <c r="C12" s="14">
        <f>IS!C10</f>
        <v>2.4529999999999998</v>
      </c>
      <c r="D12" s="14">
        <f>IS!D10</f>
        <v>4.4089999999999998</v>
      </c>
      <c r="E12" s="14">
        <f>IS!E10</f>
        <v>8.327</v>
      </c>
      <c r="F12" s="14">
        <f>IS!F10</f>
        <v>11.74</v>
      </c>
      <c r="G12" s="14">
        <f>IS!G10</f>
        <v>18.385000000000002</v>
      </c>
      <c r="H12" s="14">
        <f>IS!H10</f>
        <v>33.79</v>
      </c>
      <c r="I12" s="14">
        <f>IS!I10</f>
        <v>55.241</v>
      </c>
      <c r="J12" s="14">
        <f>IS!J10</f>
        <v>48.999000000000002</v>
      </c>
      <c r="K12" s="14">
        <f>IS!K10</f>
        <v>52.503</v>
      </c>
      <c r="L12" s="14">
        <f>IS!L10</f>
        <v>71.23</v>
      </c>
      <c r="M12" s="14">
        <f>IS!M10</f>
        <v>60.024000000000001</v>
      </c>
      <c r="N12" s="14">
        <f>IS!N10</f>
        <v>61.344000000000001</v>
      </c>
      <c r="O12" s="14">
        <f>IS!O10</f>
        <v>70.897999999999996</v>
      </c>
      <c r="P12" s="14">
        <f>IS!P10</f>
        <v>63.93</v>
      </c>
      <c r="Q12" s="14">
        <f>IS!Q10</f>
        <v>66.288000000000011</v>
      </c>
      <c r="R12" s="14">
        <f>IS!R10</f>
        <v>108.949</v>
      </c>
      <c r="S12" s="14">
        <f>IS!S10</f>
        <v>119.4</v>
      </c>
      <c r="T12" s="14">
        <f>IS!T10</f>
        <v>114</v>
      </c>
      <c r="U12" s="14">
        <f>IS!U10</f>
        <v>123.2</v>
      </c>
      <c r="V12" s="14">
        <f>IS!V10</f>
        <v>133.05000000000001</v>
      </c>
    </row>
    <row r="13" spans="2:22" x14ac:dyDescent="0.55000000000000004">
      <c r="B13" s="10" t="s">
        <v>143</v>
      </c>
      <c r="C13" s="14">
        <f>IS!C16</f>
        <v>0</v>
      </c>
      <c r="D13" s="14">
        <f>IS!D16</f>
        <v>0</v>
      </c>
      <c r="E13" s="14">
        <f>IS!E16</f>
        <v>0</v>
      </c>
      <c r="F13" s="14">
        <f>IS!F16</f>
        <v>0</v>
      </c>
      <c r="G13" s="14">
        <f>IS!G16</f>
        <v>0</v>
      </c>
      <c r="H13" s="14">
        <f>IS!H16</f>
        <v>0</v>
      </c>
      <c r="I13" s="14">
        <f>IS!I16</f>
        <v>0</v>
      </c>
      <c r="J13" s="14">
        <f>IS!J16</f>
        <v>0.13600000000000001</v>
      </c>
      <c r="K13" s="14">
        <f>IS!K16</f>
        <v>0.38400000000000001</v>
      </c>
      <c r="L13" s="14">
        <f>IS!L16</f>
        <v>0.73299999999999998</v>
      </c>
      <c r="M13" s="14">
        <f>IS!M16</f>
        <v>1.46</v>
      </c>
      <c r="N13" s="14">
        <f>IS!N16</f>
        <v>2.2999999999999998</v>
      </c>
      <c r="O13" s="14">
        <f>IS!O16</f>
        <v>3.24</v>
      </c>
      <c r="P13" s="14">
        <f>IS!P16</f>
        <v>3.6</v>
      </c>
      <c r="Q13" s="14">
        <f>IS!Q16</f>
        <v>2.9</v>
      </c>
      <c r="R13" s="14">
        <f>IS!R16</f>
        <v>2.6</v>
      </c>
      <c r="S13" s="14">
        <f>IS!S16</f>
        <v>2.9</v>
      </c>
      <c r="T13" s="14">
        <f>IS!T16</f>
        <v>4</v>
      </c>
      <c r="U13" s="14">
        <f>IS!U16</f>
        <v>4</v>
      </c>
      <c r="V13" s="14">
        <f>IS!V16</f>
        <v>4</v>
      </c>
    </row>
    <row r="14" spans="2:22" x14ac:dyDescent="0.55000000000000004">
      <c r="B14" s="10" t="s">
        <v>145</v>
      </c>
      <c r="C14" s="14">
        <f>CF!C7/1000</f>
        <v>0.22500000000000001</v>
      </c>
      <c r="D14" s="14">
        <f>CF!D7/1000</f>
        <v>0.317</v>
      </c>
      <c r="E14" s="14">
        <f>CF!E7/1000</f>
        <v>0.496</v>
      </c>
      <c r="F14" s="14">
        <f>CF!F7/1000</f>
        <v>0.73399999999999999</v>
      </c>
      <c r="G14" s="14">
        <f>CF!G7/1000</f>
        <v>1.0269999999999999</v>
      </c>
      <c r="H14" s="14">
        <f>CF!H7/1000</f>
        <v>1.8140000000000001</v>
      </c>
      <c r="I14" s="14">
        <f>CF!I7/1000</f>
        <v>3.2770000000000001</v>
      </c>
      <c r="J14" s="14">
        <f>CF!J7/1000</f>
        <v>6.7569999999999997</v>
      </c>
      <c r="K14" s="14">
        <f>CF!K7/1000</f>
        <v>7.9459999999999997</v>
      </c>
      <c r="L14" s="14">
        <f>CF!L7/1000</f>
        <v>11.257</v>
      </c>
      <c r="M14" s="14">
        <f>CF!M7/1000</f>
        <v>10.505000000000001</v>
      </c>
      <c r="N14" s="14">
        <f>CF!N7/1000</f>
        <v>10.157</v>
      </c>
      <c r="O14" s="14">
        <f>CF!O7/1000</f>
        <v>10.903</v>
      </c>
      <c r="P14" s="14">
        <f>CF!P7/1000</f>
        <v>12.547000000000001</v>
      </c>
      <c r="Q14" s="14">
        <f>CF!Q7/1000</f>
        <v>11.055999999999999</v>
      </c>
      <c r="R14" s="14">
        <f>CF!R7/1000</f>
        <v>11.284000000000001</v>
      </c>
      <c r="S14" s="14">
        <f>CF!S7/1000</f>
        <v>11.103999999999999</v>
      </c>
      <c r="T14" s="14">
        <f>CF!T7/1000</f>
        <v>11.519</v>
      </c>
      <c r="U14" s="14">
        <f>CF!U7/1000</f>
        <v>11.445</v>
      </c>
      <c r="V14" s="14">
        <f>CF!V7/1000</f>
        <v>11.698</v>
      </c>
    </row>
    <row r="15" spans="2:22" x14ac:dyDescent="0.55000000000000004">
      <c r="B15" s="10" t="s">
        <v>147</v>
      </c>
      <c r="C15" s="14">
        <f>-CF!C30/1000</f>
        <v>0.65700000000000003</v>
      </c>
      <c r="D15" s="14">
        <f>-CF!D30/1000</f>
        <v>0.73499999999999999</v>
      </c>
      <c r="E15" s="14">
        <f>-CF!E30/1000</f>
        <v>1.091</v>
      </c>
      <c r="F15" s="14">
        <f>-CF!F30/1000</f>
        <v>1.1439999999999999</v>
      </c>
      <c r="G15" s="14">
        <f>-CF!G30/1000</f>
        <v>2.0049999999999999</v>
      </c>
      <c r="H15" s="14">
        <f>-CF!H30/1000</f>
        <v>4.26</v>
      </c>
      <c r="I15" s="14">
        <f>-CF!I30/1000</f>
        <v>8.2949999999999999</v>
      </c>
      <c r="J15" s="14">
        <f>-CF!J30/1000</f>
        <v>8.1649999999999991</v>
      </c>
      <c r="K15" s="14">
        <f>-CF!K30/1000</f>
        <v>9.5709999999999997</v>
      </c>
      <c r="L15" s="14">
        <f>-CF!L30/1000</f>
        <v>11.247</v>
      </c>
      <c r="M15" s="14">
        <f>-CF!M30/1000</f>
        <v>12.734</v>
      </c>
      <c r="N15" s="14">
        <f>-CF!N30/1000</f>
        <v>12.451000000000001</v>
      </c>
      <c r="O15" s="14">
        <f>-CF!O30/1000</f>
        <v>13.313000000000001</v>
      </c>
      <c r="P15" s="14">
        <f>-CF!P30/1000</f>
        <v>10.494999999999999</v>
      </c>
      <c r="Q15" s="14">
        <f>-CF!Q30/1000</f>
        <v>7.3090000000000002</v>
      </c>
      <c r="R15" s="14">
        <f>-CF!R30/1000</f>
        <v>11.085000000000001</v>
      </c>
      <c r="S15" s="14">
        <f>-CF!S30/1000</f>
        <v>10.708</v>
      </c>
      <c r="T15" s="14">
        <f>-CF!T30/1000</f>
        <v>10.959</v>
      </c>
      <c r="U15" s="14">
        <f>-CF!U30/1000</f>
        <v>9.4469999999999992</v>
      </c>
      <c r="V15" s="14">
        <f>-CF!V30/1000</f>
        <v>12.715</v>
      </c>
    </row>
    <row r="16" spans="2:22" x14ac:dyDescent="0.55000000000000004">
      <c r="B16" s="10" t="s">
        <v>150</v>
      </c>
      <c r="C16" s="14">
        <f>CF!C4/1000</f>
        <v>2.2200000000000002</v>
      </c>
      <c r="D16" s="14">
        <f>CF!D4/1000</f>
        <v>5.47</v>
      </c>
      <c r="E16" s="14">
        <f>CF!E4/1000</f>
        <v>9.5960000000000001</v>
      </c>
      <c r="F16" s="14">
        <f>CF!F4/1000</f>
        <v>10.159000000000001</v>
      </c>
      <c r="G16" s="14">
        <f>CF!G4/1000</f>
        <v>18.594999999999999</v>
      </c>
      <c r="H16" s="14">
        <f>CF!H4/1000</f>
        <v>37.529000000000003</v>
      </c>
      <c r="I16" s="14">
        <f>CF!I4/1000</f>
        <v>50.856000000000002</v>
      </c>
      <c r="J16" s="14">
        <f>CF!J4/1000</f>
        <v>53.665999999999997</v>
      </c>
      <c r="K16" s="14">
        <f>CF!K4/1000</f>
        <v>59.713000000000001</v>
      </c>
      <c r="L16" s="14">
        <f>CF!L4/1000</f>
        <v>81.266000000000005</v>
      </c>
      <c r="M16" s="14">
        <f>CF!M4/1000</f>
        <v>65.823999999999998</v>
      </c>
      <c r="N16" s="14">
        <f>CF!N4/1000</f>
        <v>63.597999999999999</v>
      </c>
      <c r="O16" s="14">
        <f>CF!O4/1000</f>
        <v>77.433999999999997</v>
      </c>
      <c r="P16" s="14">
        <f>CF!P4/1000</f>
        <v>69.391000000000005</v>
      </c>
      <c r="Q16" s="14">
        <f>CF!Q4/1000</f>
        <v>80.674000000000007</v>
      </c>
      <c r="R16" s="14">
        <f>CF!R4/1000</f>
        <v>104.038</v>
      </c>
      <c r="S16" s="14">
        <f>CF!S4/1000</f>
        <v>122.151</v>
      </c>
      <c r="T16" s="14">
        <f>CF!T4/1000</f>
        <v>110.54300000000001</v>
      </c>
      <c r="U16" s="14">
        <f>CF!U4/1000</f>
        <v>118.254</v>
      </c>
      <c r="V16" s="14">
        <f>CF!V4/1000</f>
        <v>111.482</v>
      </c>
    </row>
    <row r="17" spans="2:22" x14ac:dyDescent="0.55000000000000004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2:22" x14ac:dyDescent="0.55000000000000004">
      <c r="B18" s="10" t="s">
        <v>146</v>
      </c>
      <c r="C18" s="14">
        <f>C12+C14</f>
        <v>2.6779999999999999</v>
      </c>
      <c r="D18" s="14">
        <f t="shared" ref="D18:L18" si="0">D12+D14</f>
        <v>4.726</v>
      </c>
      <c r="E18" s="14">
        <f t="shared" si="0"/>
        <v>8.8230000000000004</v>
      </c>
      <c r="F18" s="14">
        <f t="shared" si="0"/>
        <v>12.474</v>
      </c>
      <c r="G18" s="14">
        <f t="shared" si="0"/>
        <v>19.412000000000003</v>
      </c>
      <c r="H18" s="14">
        <f t="shared" si="0"/>
        <v>35.603999999999999</v>
      </c>
      <c r="I18" s="14">
        <f t="shared" si="0"/>
        <v>58.518000000000001</v>
      </c>
      <c r="J18" s="14">
        <f t="shared" si="0"/>
        <v>55.756</v>
      </c>
      <c r="K18" s="14">
        <f t="shared" si="0"/>
        <v>60.448999999999998</v>
      </c>
      <c r="L18" s="14">
        <f t="shared" si="0"/>
        <v>82.487000000000009</v>
      </c>
      <c r="M18" s="14">
        <f t="shared" ref="M18:N18" si="1">M12+M14</f>
        <v>70.528999999999996</v>
      </c>
      <c r="N18" s="14">
        <f t="shared" si="1"/>
        <v>71.501000000000005</v>
      </c>
      <c r="O18" s="14">
        <f t="shared" ref="O18:P18" si="2">O12+O14</f>
        <v>81.801000000000002</v>
      </c>
      <c r="P18" s="14">
        <f t="shared" si="2"/>
        <v>76.477000000000004</v>
      </c>
      <c r="Q18" s="14">
        <f t="shared" ref="Q18:R18" si="3">Q12+Q14</f>
        <v>77.344000000000008</v>
      </c>
      <c r="R18" s="14">
        <f t="shared" si="3"/>
        <v>120.233</v>
      </c>
      <c r="S18" s="14">
        <f t="shared" ref="S18:T18" si="4">S12+S14</f>
        <v>130.50400000000002</v>
      </c>
      <c r="T18" s="14">
        <f t="shared" si="4"/>
        <v>125.51900000000001</v>
      </c>
      <c r="U18" s="14">
        <f t="shared" ref="U18:V18" si="5">U12+U14</f>
        <v>134.64500000000001</v>
      </c>
      <c r="V18" s="14">
        <f t="shared" si="5"/>
        <v>144.74800000000002</v>
      </c>
    </row>
    <row r="19" spans="2:22" x14ac:dyDescent="0.55000000000000004">
      <c r="B19" s="10" t="s">
        <v>148</v>
      </c>
      <c r="C19" s="14">
        <f>C16-C15</f>
        <v>1.5630000000000002</v>
      </c>
      <c r="D19" s="14">
        <f t="shared" ref="D19:L19" si="6">D16-D15</f>
        <v>4.7349999999999994</v>
      </c>
      <c r="E19" s="14">
        <f t="shared" si="6"/>
        <v>8.5050000000000008</v>
      </c>
      <c r="F19" s="14">
        <f t="shared" si="6"/>
        <v>9.0150000000000006</v>
      </c>
      <c r="G19" s="14">
        <f t="shared" si="6"/>
        <v>16.59</v>
      </c>
      <c r="H19" s="14">
        <f t="shared" si="6"/>
        <v>33.269000000000005</v>
      </c>
      <c r="I19" s="14">
        <f t="shared" si="6"/>
        <v>42.561</v>
      </c>
      <c r="J19" s="14">
        <f t="shared" si="6"/>
        <v>45.500999999999998</v>
      </c>
      <c r="K19" s="14">
        <f t="shared" si="6"/>
        <v>50.142000000000003</v>
      </c>
      <c r="L19" s="14">
        <f t="shared" si="6"/>
        <v>70.019000000000005</v>
      </c>
      <c r="M19" s="14">
        <f t="shared" ref="M19:N19" si="7">M16-M15</f>
        <v>53.089999999999996</v>
      </c>
      <c r="N19" s="14">
        <f t="shared" si="7"/>
        <v>51.146999999999998</v>
      </c>
      <c r="O19" s="14">
        <f t="shared" ref="O19:P19" si="8">O16-O15</f>
        <v>64.120999999999995</v>
      </c>
      <c r="P19" s="14">
        <f t="shared" si="8"/>
        <v>58.896000000000008</v>
      </c>
      <c r="Q19" s="14">
        <f t="shared" ref="Q19:R19" si="9">Q16-Q15</f>
        <v>73.365000000000009</v>
      </c>
      <c r="R19" s="14">
        <f t="shared" si="9"/>
        <v>92.953000000000003</v>
      </c>
      <c r="S19" s="14">
        <f t="shared" ref="S19:T19" si="10">S16-S15</f>
        <v>111.443</v>
      </c>
      <c r="T19" s="14">
        <f t="shared" si="10"/>
        <v>99.584000000000003</v>
      </c>
      <c r="U19" s="14">
        <f t="shared" ref="U19:V19" si="11">U16-U15</f>
        <v>108.807</v>
      </c>
      <c r="V19" s="14">
        <f t="shared" si="11"/>
        <v>98.766999999999996</v>
      </c>
    </row>
    <row r="21" spans="2:22" ht="14.1" x14ac:dyDescent="0.55000000000000004">
      <c r="B21" s="20" t="s">
        <v>151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2:22" x14ac:dyDescent="0.55000000000000004">
      <c r="B22" s="10" t="s">
        <v>152</v>
      </c>
      <c r="C22" s="14">
        <f>(C5+C6)-C7</f>
        <v>-6.3920000000000003</v>
      </c>
      <c r="D22" s="14">
        <f>(D5+D6)-D7</f>
        <v>-9.3520000000000003</v>
      </c>
      <c r="E22" s="14">
        <f t="shared" ref="E22:L22" si="12">(E5+E6)-E7</f>
        <v>-11.875</v>
      </c>
      <c r="F22" s="14">
        <f t="shared" si="12"/>
        <v>-5.2629999999999999</v>
      </c>
      <c r="G22" s="14">
        <f t="shared" si="12"/>
        <v>-11.260999999999999</v>
      </c>
      <c r="H22" s="14">
        <f t="shared" si="12"/>
        <v>-9.8149999999999995</v>
      </c>
      <c r="I22" s="14">
        <f t="shared" si="12"/>
        <v>-10.746</v>
      </c>
      <c r="J22" s="14">
        <f>(J5+J6)-J7</f>
        <v>2.7010000000000005</v>
      </c>
      <c r="K22" s="14">
        <f>(K5+K6)-K7</f>
        <v>21.451000000000001</v>
      </c>
      <c r="L22" s="14">
        <f t="shared" si="12"/>
        <v>43.341999999999999</v>
      </c>
      <c r="M22" s="14">
        <f t="shared" ref="M22:R22" si="13">(M5+M6)-M7</f>
        <v>66.548000000000002</v>
      </c>
      <c r="N22" s="14">
        <f t="shared" si="13"/>
        <v>95.390999999999991</v>
      </c>
      <c r="O22" s="14">
        <f t="shared" si="13"/>
        <v>88.570000000000007</v>
      </c>
      <c r="P22" s="14">
        <f t="shared" si="13"/>
        <v>59.202999999999996</v>
      </c>
      <c r="Q22" s="14">
        <f t="shared" si="13"/>
        <v>74.420000000000016</v>
      </c>
      <c r="R22" s="14">
        <f t="shared" si="13"/>
        <v>89.765999999999991</v>
      </c>
      <c r="S22" s="14">
        <f t="shared" ref="S22:T22" si="14">(S5+S6)-S7</f>
        <v>96.423000000000002</v>
      </c>
      <c r="T22" s="14">
        <f t="shared" si="14"/>
        <v>81</v>
      </c>
      <c r="U22" s="14">
        <f t="shared" ref="U22:V22" si="15">(U5+U6)-U7</f>
        <v>77</v>
      </c>
      <c r="V22" s="14">
        <f t="shared" si="15"/>
        <v>62.723000000000013</v>
      </c>
    </row>
    <row r="23" spans="2:22" x14ac:dyDescent="0.55000000000000004">
      <c r="B23" s="10" t="s">
        <v>153</v>
      </c>
      <c r="C23" s="31">
        <f>(C5+C6)/C11</f>
        <v>0</v>
      </c>
      <c r="D23" s="31">
        <f t="shared" ref="D23:L23" si="16">(D5+D6)/D11</f>
        <v>0</v>
      </c>
      <c r="E23" s="31">
        <f t="shared" si="16"/>
        <v>0</v>
      </c>
      <c r="F23" s="31">
        <f t="shared" si="16"/>
        <v>0</v>
      </c>
      <c r="G23" s="31">
        <f t="shared" si="16"/>
        <v>0</v>
      </c>
      <c r="H23" s="31">
        <f t="shared" si="16"/>
        <v>0</v>
      </c>
      <c r="I23" s="31">
        <f t="shared" si="16"/>
        <v>0</v>
      </c>
      <c r="J23" s="31">
        <f t="shared" si="16"/>
        <v>8.1932367149758462E-2</v>
      </c>
      <c r="K23" s="31">
        <f t="shared" si="16"/>
        <v>0.15223926949305339</v>
      </c>
      <c r="L23" s="31">
        <f t="shared" si="16"/>
        <v>0.2219162142530097</v>
      </c>
      <c r="M23" s="31">
        <f t="shared" ref="M23:N23" si="17">(M5+M6)/M11</f>
        <v>0.27054954210006038</v>
      </c>
      <c r="N23" s="31">
        <f t="shared" si="17"/>
        <v>0.30821780938348442</v>
      </c>
      <c r="O23" s="31">
        <f t="shared" ref="O23:P23" si="18">(O5+O6)/O11</f>
        <v>0.31303028231594776</v>
      </c>
      <c r="P23" s="31">
        <f t="shared" si="18"/>
        <v>0.31917841401883512</v>
      </c>
      <c r="Q23" s="31">
        <f t="shared" ref="Q23:R23" si="19">(Q5+Q6)/Q11</f>
        <v>0.3471446919922937</v>
      </c>
      <c r="R23" s="31">
        <f t="shared" si="19"/>
        <v>0.35528572486766452</v>
      </c>
      <c r="S23" s="31">
        <f t="shared" ref="S23:T23" si="20">(S5+S6)/S11</f>
        <v>0.34037504783773442</v>
      </c>
      <c r="T23" s="31">
        <f t="shared" si="20"/>
        <v>0.31444759206798867</v>
      </c>
      <c r="U23" s="31">
        <f t="shared" ref="U23:V23" si="21">(U5+U6)/U11</f>
        <v>0.29315068493150687</v>
      </c>
      <c r="V23" s="31">
        <f t="shared" si="21"/>
        <v>0.27462622584838592</v>
      </c>
    </row>
    <row r="24" spans="2:22" x14ac:dyDescent="0.55000000000000004">
      <c r="B24" s="10" t="s">
        <v>161</v>
      </c>
      <c r="C24" s="31">
        <f>(C5+C6)/C10</f>
        <v>0</v>
      </c>
      <c r="D24" s="31">
        <f t="shared" ref="D24:L24" si="22">(D5+D6)/D10</f>
        <v>0</v>
      </c>
      <c r="E24" s="31">
        <f t="shared" si="22"/>
        <v>0</v>
      </c>
      <c r="F24" s="31">
        <f t="shared" si="22"/>
        <v>0</v>
      </c>
      <c r="G24" s="31">
        <f t="shared" si="22"/>
        <v>0</v>
      </c>
      <c r="H24" s="31">
        <f t="shared" si="22"/>
        <v>0</v>
      </c>
      <c r="I24" s="31">
        <f t="shared" si="22"/>
        <v>0</v>
      </c>
      <c r="J24" s="31">
        <f t="shared" si="22"/>
        <v>0.13727347044492469</v>
      </c>
      <c r="K24" s="31">
        <f t="shared" si="22"/>
        <v>0.31641370901951649</v>
      </c>
      <c r="L24" s="31">
        <f t="shared" si="22"/>
        <v>0.54008629718067946</v>
      </c>
      <c r="M24" s="31">
        <f t="shared" ref="M24:N24" si="23">(M5+M6)/M10</f>
        <v>0.67861737713354497</v>
      </c>
      <c r="N24" s="31">
        <f t="shared" si="23"/>
        <v>0.86298089476079287</v>
      </c>
      <c r="O24" s="31">
        <f t="shared" ref="O24:P24" si="24">(O5+O6)/O10</f>
        <v>1.0684666859548098</v>
      </c>
      <c r="P24" s="31">
        <f t="shared" si="24"/>
        <v>1.1940478295464592</v>
      </c>
      <c r="Q24" s="31">
        <f t="shared" ref="Q24:R24" si="25">(Q5+Q6)/Q10</f>
        <v>1.7208099297509911</v>
      </c>
      <c r="R24" s="31">
        <f t="shared" si="25"/>
        <v>1.9766365509589472</v>
      </c>
      <c r="S24" s="31">
        <f t="shared" ref="S24:T24" si="26">(S5+S6)/S10</f>
        <v>2.369533470161036</v>
      </c>
      <c r="T24" s="31">
        <f t="shared" si="26"/>
        <v>1.7903225806451613</v>
      </c>
      <c r="U24" s="31">
        <f t="shared" ref="U24:V24" si="27">(U5+U6)/U10</f>
        <v>1.8771929824561404</v>
      </c>
      <c r="V24" s="31">
        <f t="shared" si="27"/>
        <v>1.3380304612588665</v>
      </c>
    </row>
    <row r="25" spans="2:22" x14ac:dyDescent="0.55000000000000004">
      <c r="B25" s="10" t="s">
        <v>154</v>
      </c>
      <c r="C25" s="14"/>
      <c r="D25" s="14"/>
      <c r="E25" s="14"/>
      <c r="F25" s="14"/>
      <c r="G25" s="14"/>
      <c r="H25" s="14"/>
      <c r="I25" s="14"/>
      <c r="J25" s="14">
        <f>J12/J13</f>
        <v>360.28676470588232</v>
      </c>
      <c r="K25" s="14">
        <f t="shared" ref="K25:L25" si="28">K12/K13</f>
        <v>136.7265625</v>
      </c>
      <c r="L25" s="14">
        <f t="shared" si="28"/>
        <v>97.17598908594816</v>
      </c>
      <c r="M25" s="14">
        <f t="shared" ref="M25:N25" si="29">M12/M13</f>
        <v>41.112328767123287</v>
      </c>
      <c r="N25" s="14">
        <f t="shared" si="29"/>
        <v>26.671304347826091</v>
      </c>
      <c r="O25" s="14">
        <f t="shared" ref="O25:P25" si="30">O12/O13</f>
        <v>21.882098765432097</v>
      </c>
      <c r="P25" s="14">
        <f t="shared" si="30"/>
        <v>17.758333333333333</v>
      </c>
      <c r="Q25" s="14">
        <f t="shared" ref="Q25:R25" si="31">Q12/Q13</f>
        <v>22.857931034482764</v>
      </c>
      <c r="R25" s="14">
        <f t="shared" si="31"/>
        <v>41.903461538461535</v>
      </c>
      <c r="S25" s="14">
        <f t="shared" ref="S25:T25" si="32">S12/S13</f>
        <v>41.172413793103452</v>
      </c>
      <c r="T25" s="14">
        <f t="shared" si="32"/>
        <v>28.5</v>
      </c>
      <c r="U25" s="14">
        <f t="shared" ref="U25:V25" si="33">U12/U13</f>
        <v>30.8</v>
      </c>
      <c r="V25" s="14">
        <f t="shared" si="33"/>
        <v>33.262500000000003</v>
      </c>
    </row>
    <row r="26" spans="2:22" x14ac:dyDescent="0.55000000000000004">
      <c r="B26" s="10" t="s">
        <v>155</v>
      </c>
      <c r="C26" s="14"/>
      <c r="D26" s="14"/>
      <c r="E26" s="14"/>
      <c r="F26" s="14"/>
      <c r="G26" s="14"/>
      <c r="H26" s="14"/>
      <c r="I26" s="14"/>
      <c r="J26" s="14">
        <f t="shared" ref="J26:L26" si="34">J18/J13</f>
        <v>409.97058823529409</v>
      </c>
      <c r="K26" s="14">
        <f t="shared" si="34"/>
        <v>157.41927083333331</v>
      </c>
      <c r="L26" s="14">
        <f t="shared" si="34"/>
        <v>112.53342428376536</v>
      </c>
      <c r="M26" s="14">
        <f t="shared" ref="M26:R26" si="35">M18/M13</f>
        <v>48.307534246575344</v>
      </c>
      <c r="N26" s="14">
        <f t="shared" si="35"/>
        <v>31.087391304347829</v>
      </c>
      <c r="O26" s="14">
        <f t="shared" si="35"/>
        <v>25.24722222222222</v>
      </c>
      <c r="P26" s="14">
        <f t="shared" si="35"/>
        <v>21.243611111111111</v>
      </c>
      <c r="Q26" s="14">
        <f t="shared" si="35"/>
        <v>26.670344827586209</v>
      </c>
      <c r="R26" s="14">
        <f t="shared" si="35"/>
        <v>46.243461538461538</v>
      </c>
      <c r="S26" s="14">
        <f t="shared" ref="S26:T26" si="36">S18/S13</f>
        <v>45.001379310344838</v>
      </c>
      <c r="T26" s="14">
        <f t="shared" si="36"/>
        <v>31.379750000000001</v>
      </c>
      <c r="U26" s="14">
        <f t="shared" ref="U26:V26" si="37">U18/U13</f>
        <v>33.661250000000003</v>
      </c>
      <c r="V26" s="14">
        <f t="shared" si="37"/>
        <v>36.187000000000005</v>
      </c>
    </row>
    <row r="27" spans="2:22" x14ac:dyDescent="0.55000000000000004">
      <c r="B27" s="10" t="s">
        <v>156</v>
      </c>
      <c r="C27" s="14"/>
      <c r="D27" s="14"/>
      <c r="E27" s="14"/>
      <c r="F27" s="14"/>
      <c r="G27" s="14"/>
      <c r="H27" s="14"/>
      <c r="I27" s="14"/>
      <c r="J27" s="14">
        <f t="shared" ref="J27:L27" si="38">J16/J13</f>
        <v>394.60294117647055</v>
      </c>
      <c r="K27" s="14">
        <f t="shared" si="38"/>
        <v>155.50260416666666</v>
      </c>
      <c r="L27" s="14">
        <f t="shared" si="38"/>
        <v>110.86766712141883</v>
      </c>
      <c r="M27" s="14">
        <f t="shared" ref="M27:N27" si="39">M16/M13</f>
        <v>45.084931506849315</v>
      </c>
      <c r="N27" s="14">
        <f t="shared" si="39"/>
        <v>27.651304347826088</v>
      </c>
      <c r="O27" s="14">
        <f t="shared" ref="O27:P27" si="40">O16/O13</f>
        <v>23.899382716049381</v>
      </c>
      <c r="P27" s="14">
        <f t="shared" si="40"/>
        <v>19.275277777777777</v>
      </c>
      <c r="Q27" s="14">
        <f t="shared" ref="Q27:R27" si="41">Q16/Q13</f>
        <v>27.818620689655177</v>
      </c>
      <c r="R27" s="14">
        <f t="shared" si="41"/>
        <v>40.014615384615382</v>
      </c>
      <c r="S27" s="14">
        <f t="shared" ref="S27:T27" si="42">S16/S13</f>
        <v>42.121034482758624</v>
      </c>
      <c r="T27" s="14">
        <f t="shared" si="42"/>
        <v>27.635750000000002</v>
      </c>
      <c r="U27" s="14">
        <f t="shared" ref="U27:V27" si="43">U16/U13</f>
        <v>29.563500000000001</v>
      </c>
      <c r="V27" s="14">
        <f t="shared" si="43"/>
        <v>27.8705</v>
      </c>
    </row>
    <row r="28" spans="2:22" x14ac:dyDescent="0.55000000000000004">
      <c r="B28" s="10" t="s">
        <v>157</v>
      </c>
      <c r="C28" s="14"/>
      <c r="D28" s="14"/>
      <c r="E28" s="14"/>
      <c r="F28" s="14"/>
      <c r="G28" s="14"/>
      <c r="H28" s="14"/>
      <c r="I28" s="14"/>
      <c r="J28" s="14">
        <f>(J5+J6)/J18</f>
        <v>0.30418250950570341</v>
      </c>
      <c r="K28" s="14">
        <f t="shared" ref="K28:L28" si="44">(K5+K6)/K18</f>
        <v>0.5838806266439478</v>
      </c>
      <c r="L28" s="14">
        <f t="shared" si="44"/>
        <v>0.78148071817377274</v>
      </c>
      <c r="M28" s="14">
        <f t="shared" ref="M28:R28" si="45">(M5+M6)/M18</f>
        <v>1.2339888556480316</v>
      </c>
      <c r="N28" s="14">
        <f t="shared" si="45"/>
        <v>1.6178794702171995</v>
      </c>
      <c r="O28" s="14">
        <f t="shared" si="45"/>
        <v>1.3995305680859647</v>
      </c>
      <c r="P28" s="14">
        <f t="shared" si="45"/>
        <v>1.4128038495233861</v>
      </c>
      <c r="Q28" s="14">
        <f t="shared" si="45"/>
        <v>1.4537132809267685</v>
      </c>
      <c r="R28" s="14">
        <f t="shared" si="45"/>
        <v>1.0372027646320061</v>
      </c>
      <c r="S28" s="14">
        <f t="shared" ref="S28:T28" si="46">(S5+S6)/S18</f>
        <v>0.92004076503402188</v>
      </c>
      <c r="T28" s="14">
        <f t="shared" si="46"/>
        <v>0.8843282690269999</v>
      </c>
      <c r="U28" s="14">
        <f t="shared" ref="U28:V28" si="47">(U5+U6)/U18</f>
        <v>0.79468231274833812</v>
      </c>
      <c r="V28" s="14">
        <f t="shared" si="47"/>
        <v>0.68157763837842322</v>
      </c>
    </row>
    <row r="29" spans="2:22" x14ac:dyDescent="0.55000000000000004">
      <c r="B29" s="10" t="s">
        <v>158</v>
      </c>
      <c r="C29" s="14"/>
      <c r="D29" s="14"/>
      <c r="E29" s="14"/>
      <c r="F29" s="14"/>
      <c r="G29" s="14"/>
      <c r="H29" s="14"/>
      <c r="I29" s="14"/>
      <c r="J29" s="14">
        <f>(J5+J6)/J16</f>
        <v>0.31602877054373352</v>
      </c>
      <c r="K29" s="14">
        <f t="shared" ref="K29:L29" si="48">(K5+K6)/K16</f>
        <v>0.59107731984659961</v>
      </c>
      <c r="L29" s="14">
        <f t="shared" si="48"/>
        <v>0.79322225777077748</v>
      </c>
      <c r="M29" s="14">
        <f t="shared" ref="M29:N29" si="49">(M5+M6)/M16</f>
        <v>1.3221925133689842</v>
      </c>
      <c r="N29" s="14">
        <f t="shared" si="49"/>
        <v>1.8189251234315544</v>
      </c>
      <c r="O29" s="14">
        <f t="shared" ref="O29:P29" si="50">(O5+O6)/O16</f>
        <v>1.4784590748250124</v>
      </c>
      <c r="P29" s="14">
        <f t="shared" si="50"/>
        <v>1.5570751250162123</v>
      </c>
      <c r="Q29" s="14">
        <f t="shared" ref="Q29:R29" si="51">(Q5+Q6)/Q16</f>
        <v>1.3937080100156183</v>
      </c>
      <c r="R29" s="14">
        <f t="shared" si="51"/>
        <v>1.1986581825871316</v>
      </c>
      <c r="S29" s="14">
        <f t="shared" ref="S29:T29" si="52">(S5+S6)/S16</f>
        <v>0.98295552226342808</v>
      </c>
      <c r="T29" s="14">
        <f t="shared" si="52"/>
        <v>1.0041341378468107</v>
      </c>
      <c r="U29" s="14">
        <f t="shared" ref="U29:V29" si="53">(U5+U6)/U16</f>
        <v>0.90483197185718878</v>
      </c>
      <c r="V29" s="14">
        <f t="shared" si="53"/>
        <v>0.88495900683518425</v>
      </c>
    </row>
    <row r="30" spans="2:22" x14ac:dyDescent="0.55000000000000004">
      <c r="B30" s="10" t="s">
        <v>159</v>
      </c>
      <c r="C30" s="14"/>
      <c r="D30" s="14"/>
      <c r="E30" s="14"/>
      <c r="F30" s="14"/>
      <c r="G30" s="14"/>
      <c r="H30" s="14"/>
      <c r="I30" s="14"/>
      <c r="J30" s="14">
        <f>(J5+J6)/J19</f>
        <v>0.37273906067998508</v>
      </c>
      <c r="K30" s="14">
        <f t="shared" ref="K30:L30" si="54">(K5+K6)/K19</f>
        <v>0.70390092138327154</v>
      </c>
      <c r="L30" s="14">
        <f t="shared" si="54"/>
        <v>0.92063582741827221</v>
      </c>
      <c r="M30" s="14">
        <f t="shared" ref="M30:N30" si="55">(M5+M6)/M19</f>
        <v>1.6393294405726129</v>
      </c>
      <c r="N30" s="14">
        <f t="shared" si="55"/>
        <v>2.261716229690891</v>
      </c>
      <c r="O30" s="14">
        <f t="shared" ref="O30:P30" si="56">(O5+O6)/O19</f>
        <v>1.7854213128304302</v>
      </c>
      <c r="P30" s="14">
        <f t="shared" si="56"/>
        <v>1.8345388481390923</v>
      </c>
      <c r="Q30" s="14">
        <f t="shared" ref="Q30:R30" si="57">(Q5+Q6)/Q19</f>
        <v>1.5325563961016833</v>
      </c>
      <c r="R30" s="14">
        <f t="shared" si="57"/>
        <v>1.3416027454735187</v>
      </c>
      <c r="S30" s="14">
        <f t="shared" ref="S30:T30" si="58">(S5+S6)/S19</f>
        <v>1.0774027978428435</v>
      </c>
      <c r="T30" s="14">
        <f t="shared" si="58"/>
        <v>1.1146368894601542</v>
      </c>
      <c r="U30" s="14">
        <f t="shared" ref="U30:V30" si="59">(U5+U6)/U19</f>
        <v>0.98339261260764466</v>
      </c>
      <c r="V30" s="14">
        <f t="shared" si="59"/>
        <v>0.99888626768050071</v>
      </c>
    </row>
  </sheetData>
  <phoneticPr fontId="1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M16"/>
  <sheetViews>
    <sheetView workbookViewId="0"/>
  </sheetViews>
  <sheetFormatPr defaultRowHeight="14.4" x14ac:dyDescent="0.55000000000000004"/>
  <cols>
    <col min="1" max="1" width="5.68359375" customWidth="1"/>
    <col min="2" max="2" width="26.26171875" bestFit="1" customWidth="1"/>
    <col min="3" max="3" width="10.578125" bestFit="1" customWidth="1"/>
    <col min="4" max="4" width="11.578125" bestFit="1" customWidth="1"/>
    <col min="5" max="12" width="10.578125" bestFit="1" customWidth="1"/>
  </cols>
  <sheetData>
    <row r="2" spans="2:13" x14ac:dyDescent="0.55000000000000004">
      <c r="B2" s="7" t="s">
        <v>162</v>
      </c>
    </row>
    <row r="4" spans="2:13" x14ac:dyDescent="0.55000000000000004">
      <c r="B4" s="5"/>
      <c r="C4" s="6" t="s">
        <v>10</v>
      </c>
      <c r="D4" s="6" t="s">
        <v>9</v>
      </c>
      <c r="E4" s="6" t="s">
        <v>8</v>
      </c>
      <c r="F4" s="6" t="s">
        <v>7</v>
      </c>
      <c r="G4" s="6" t="s">
        <v>6</v>
      </c>
      <c r="H4" s="6" t="s">
        <v>5</v>
      </c>
      <c r="I4" s="6" t="s">
        <v>4</v>
      </c>
      <c r="J4" s="6" t="s">
        <v>3</v>
      </c>
      <c r="K4" s="6" t="s">
        <v>2</v>
      </c>
      <c r="L4" s="6" t="s">
        <v>1</v>
      </c>
      <c r="M4" s="6" t="s">
        <v>186</v>
      </c>
    </row>
    <row r="5" spans="2:13" x14ac:dyDescent="0.55000000000000004">
      <c r="B5" t="s">
        <v>163</v>
      </c>
      <c r="C5" s="1">
        <v>11</v>
      </c>
      <c r="D5" s="1">
        <v>25</v>
      </c>
      <c r="E5" s="1">
        <v>14</v>
      </c>
      <c r="F5" s="1">
        <v>25</v>
      </c>
      <c r="G5" s="1">
        <v>40</v>
      </c>
      <c r="H5" s="1">
        <v>54</v>
      </c>
      <c r="I5" s="1">
        <v>79</v>
      </c>
      <c r="J5" s="1">
        <v>71</v>
      </c>
      <c r="K5" s="1">
        <v>105</v>
      </c>
      <c r="L5" s="1">
        <v>118</v>
      </c>
      <c r="M5" s="1">
        <v>113</v>
      </c>
    </row>
    <row r="6" spans="2:13" x14ac:dyDescent="0.55000000000000004">
      <c r="B6" t="s">
        <v>160</v>
      </c>
      <c r="C6" s="1">
        <f>BS!C33</f>
        <v>9.984</v>
      </c>
      <c r="D6" s="1">
        <f>BS!D33</f>
        <v>14.532</v>
      </c>
      <c r="E6" s="1">
        <f>BS!E33</f>
        <v>21.03</v>
      </c>
      <c r="F6" s="1">
        <f>BS!F33</f>
        <v>31.64</v>
      </c>
      <c r="G6" s="1">
        <f>BS!G33</f>
        <v>47.790999999999997</v>
      </c>
      <c r="H6" s="1">
        <f>BS!H33</f>
        <v>76.614999999999995</v>
      </c>
      <c r="I6" s="1">
        <f>BS!I33</f>
        <v>118.21</v>
      </c>
      <c r="J6" s="1">
        <f>BS!J33</f>
        <v>123.54900000000001</v>
      </c>
      <c r="K6" s="1">
        <f>BS!K33</f>
        <v>111.547</v>
      </c>
      <c r="L6" s="1">
        <f>BS!L33</f>
        <v>119.355</v>
      </c>
      <c r="M6" s="1">
        <f>BS!M33</f>
        <v>128.249</v>
      </c>
    </row>
    <row r="7" spans="2:13" x14ac:dyDescent="0.55000000000000004">
      <c r="B7" t="s">
        <v>21</v>
      </c>
      <c r="C7" s="1">
        <f>IS!C14</f>
        <v>1.9890000000000001</v>
      </c>
      <c r="D7" s="1">
        <f>IS!D14</f>
        <v>3.496</v>
      </c>
      <c r="E7" s="1">
        <f>IS!E14</f>
        <v>6.1189999999999998</v>
      </c>
      <c r="F7" s="1">
        <f>IS!F14</f>
        <v>8.2349999999999994</v>
      </c>
      <c r="G7" s="1">
        <f>IS!G14</f>
        <v>14.013</v>
      </c>
      <c r="H7" s="1">
        <f>IS!H14</f>
        <v>25.922000000000001</v>
      </c>
      <c r="I7" s="1">
        <f>IS!I14</f>
        <v>41.732999999999997</v>
      </c>
      <c r="J7" s="1">
        <f>IS!J14</f>
        <v>37.036999999999999</v>
      </c>
      <c r="K7" s="1">
        <f>IS!K14</f>
        <v>39.51</v>
      </c>
      <c r="L7" s="1">
        <f>IS!L14</f>
        <v>53.393999999999998</v>
      </c>
      <c r="M7" s="1">
        <f>IS!M14</f>
        <v>45.686999999999998</v>
      </c>
    </row>
    <row r="8" spans="2:13" x14ac:dyDescent="0.55000000000000004">
      <c r="B8" t="s">
        <v>167</v>
      </c>
      <c r="C8" s="1">
        <f>Leverage!C18</f>
        <v>2.6779999999999999</v>
      </c>
      <c r="D8" s="1">
        <f>Leverage!D18</f>
        <v>4.726</v>
      </c>
      <c r="E8" s="1">
        <f>Leverage!E18</f>
        <v>8.8230000000000004</v>
      </c>
      <c r="F8" s="1">
        <f>Leverage!F18</f>
        <v>12.474</v>
      </c>
      <c r="G8" s="1">
        <f>Leverage!G18</f>
        <v>19.412000000000003</v>
      </c>
      <c r="H8" s="1">
        <f>Leverage!H18</f>
        <v>35.603999999999999</v>
      </c>
      <c r="I8" s="1">
        <f>Leverage!I18</f>
        <v>58.518000000000001</v>
      </c>
      <c r="J8" s="1">
        <f>Leverage!J18</f>
        <v>55.756</v>
      </c>
      <c r="K8" s="1">
        <f>Leverage!K18</f>
        <v>60.448999999999998</v>
      </c>
      <c r="L8" s="1">
        <f>Leverage!L18</f>
        <v>82.487000000000009</v>
      </c>
      <c r="M8" s="1">
        <f>Leverage!M18</f>
        <v>70.528999999999996</v>
      </c>
    </row>
    <row r="9" spans="2:13" x14ac:dyDescent="0.55000000000000004">
      <c r="B9" t="s">
        <v>164</v>
      </c>
      <c r="C9" s="2" t="e">
        <f>IS!#REF!</f>
        <v>#REF!</v>
      </c>
      <c r="D9" s="2" t="e">
        <f>IS!#REF!</f>
        <v>#REF!</v>
      </c>
      <c r="E9" s="2" t="e">
        <f>IS!#REF!</f>
        <v>#REF!</v>
      </c>
      <c r="F9" s="2" t="e">
        <f>IS!#REF!</f>
        <v>#REF!</v>
      </c>
      <c r="G9" s="2" t="e">
        <f>IS!#REF!</f>
        <v>#REF!</v>
      </c>
      <c r="H9" s="2" t="e">
        <f>IS!#REF!</f>
        <v>#REF!</v>
      </c>
      <c r="I9" s="2" t="e">
        <f>IS!#REF!</f>
        <v>#REF!</v>
      </c>
      <c r="J9" s="2" t="e">
        <f>IS!#REF!</f>
        <v>#REF!</v>
      </c>
      <c r="K9" s="2" t="e">
        <f>IS!#REF!</f>
        <v>#REF!</v>
      </c>
      <c r="L9" s="2" t="e">
        <f>IS!#REF!</f>
        <v>#REF!</v>
      </c>
      <c r="M9" s="2" t="e">
        <f>IS!#REF!</f>
        <v>#REF!</v>
      </c>
    </row>
    <row r="10" spans="2:13" x14ac:dyDescent="0.55000000000000004">
      <c r="B10" t="e">
        <f>IS!#REF!</f>
        <v>#REF!</v>
      </c>
      <c r="C10" s="2" t="e">
        <f>IS!#REF!</f>
        <v>#REF!</v>
      </c>
      <c r="D10" s="2" t="e">
        <f>IS!#REF!</f>
        <v>#REF!</v>
      </c>
      <c r="E10" s="2" t="e">
        <f>IS!#REF!</f>
        <v>#REF!</v>
      </c>
      <c r="F10" s="2" t="e">
        <f>IS!#REF!</f>
        <v>#REF!</v>
      </c>
      <c r="G10" s="2" t="e">
        <f>IS!#REF!</f>
        <v>#REF!</v>
      </c>
      <c r="H10" s="2" t="e">
        <f>IS!#REF!</f>
        <v>#REF!</v>
      </c>
      <c r="I10" s="2" t="e">
        <f>IS!#REF!</f>
        <v>#REF!</v>
      </c>
      <c r="J10" s="2" t="e">
        <f>IS!#REF!</f>
        <v>#REF!</v>
      </c>
      <c r="K10" s="2" t="e">
        <f>IS!#REF!</f>
        <v>#REF!</v>
      </c>
      <c r="L10" s="2" t="e">
        <f>IS!#REF!</f>
        <v>#REF!</v>
      </c>
      <c r="M10" s="2" t="e">
        <f>IS!#REF!</f>
        <v>#REF!</v>
      </c>
    </row>
    <row r="12" spans="2:13" x14ac:dyDescent="0.55000000000000004">
      <c r="B12" s="4" t="s">
        <v>151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2:13" x14ac:dyDescent="0.55000000000000004">
      <c r="B13" t="s">
        <v>165</v>
      </c>
      <c r="C13" s="2" t="e">
        <f>C7/C10</f>
        <v>#REF!</v>
      </c>
      <c r="D13" s="2" t="e">
        <f t="shared" ref="D13:L13" si="0">D7/D10</f>
        <v>#REF!</v>
      </c>
      <c r="E13" s="2" t="e">
        <f t="shared" si="0"/>
        <v>#REF!</v>
      </c>
      <c r="F13" s="2" t="e">
        <f t="shared" si="0"/>
        <v>#REF!</v>
      </c>
      <c r="G13" s="2" t="e">
        <f t="shared" si="0"/>
        <v>#REF!</v>
      </c>
      <c r="H13" s="2" t="e">
        <f t="shared" si="0"/>
        <v>#REF!</v>
      </c>
      <c r="I13" s="2" t="e">
        <f t="shared" si="0"/>
        <v>#REF!</v>
      </c>
      <c r="J13" s="2" t="e">
        <f t="shared" si="0"/>
        <v>#REF!</v>
      </c>
      <c r="K13" s="2" t="e">
        <f t="shared" si="0"/>
        <v>#REF!</v>
      </c>
      <c r="L13" s="2" t="e">
        <f t="shared" si="0"/>
        <v>#REF!</v>
      </c>
      <c r="M13" s="2" t="e">
        <f t="shared" ref="M13" si="1">M7/M10</f>
        <v>#REF!</v>
      </c>
    </row>
    <row r="14" spans="2:13" x14ac:dyDescent="0.55000000000000004">
      <c r="B14" t="s">
        <v>169</v>
      </c>
      <c r="C14" s="3" t="e">
        <f>C5/C13</f>
        <v>#REF!</v>
      </c>
      <c r="D14" s="3" t="e">
        <f t="shared" ref="D14:L14" si="2">D5/D13</f>
        <v>#REF!</v>
      </c>
      <c r="E14" s="3" t="e">
        <f t="shared" si="2"/>
        <v>#REF!</v>
      </c>
      <c r="F14" s="3" t="e">
        <f t="shared" si="2"/>
        <v>#REF!</v>
      </c>
      <c r="G14" s="3" t="e">
        <f t="shared" si="2"/>
        <v>#REF!</v>
      </c>
      <c r="H14" s="3" t="e">
        <f t="shared" si="2"/>
        <v>#REF!</v>
      </c>
      <c r="I14" s="3" t="e">
        <f t="shared" si="2"/>
        <v>#REF!</v>
      </c>
      <c r="J14" s="3" t="e">
        <f t="shared" si="2"/>
        <v>#REF!</v>
      </c>
      <c r="K14" s="3" t="e">
        <f t="shared" si="2"/>
        <v>#REF!</v>
      </c>
      <c r="L14" s="3" t="e">
        <f t="shared" si="2"/>
        <v>#REF!</v>
      </c>
      <c r="M14" s="3" t="e">
        <f t="shared" ref="M14" si="3">M5/M13</f>
        <v>#REF!</v>
      </c>
    </row>
    <row r="15" spans="2:13" x14ac:dyDescent="0.55000000000000004">
      <c r="B15" t="s">
        <v>166</v>
      </c>
      <c r="C15" s="3" t="e">
        <f>C9*C5/C8</f>
        <v>#REF!</v>
      </c>
      <c r="D15" s="3" t="e">
        <f t="shared" ref="D15:L15" si="4">D9*D5/D8</f>
        <v>#REF!</v>
      </c>
      <c r="E15" s="3" t="e">
        <f t="shared" si="4"/>
        <v>#REF!</v>
      </c>
      <c r="F15" s="3" t="e">
        <f t="shared" si="4"/>
        <v>#REF!</v>
      </c>
      <c r="G15" s="3" t="e">
        <f t="shared" si="4"/>
        <v>#REF!</v>
      </c>
      <c r="H15" s="3" t="e">
        <f t="shared" si="4"/>
        <v>#REF!</v>
      </c>
      <c r="I15" s="3" t="e">
        <f t="shared" si="4"/>
        <v>#REF!</v>
      </c>
      <c r="J15" s="3" t="e">
        <f t="shared" si="4"/>
        <v>#REF!</v>
      </c>
      <c r="K15" s="3" t="e">
        <f t="shared" si="4"/>
        <v>#REF!</v>
      </c>
      <c r="L15" s="3" t="e">
        <f t="shared" si="4"/>
        <v>#REF!</v>
      </c>
      <c r="M15" s="3" t="e">
        <f t="shared" ref="M15" si="5">M9*M5/M8</f>
        <v>#REF!</v>
      </c>
    </row>
    <row r="16" spans="2:13" x14ac:dyDescent="0.55000000000000004">
      <c r="B16" t="s">
        <v>168</v>
      </c>
      <c r="C16" s="1" t="e">
        <f>C5/(C6/C9)</f>
        <v>#REF!</v>
      </c>
      <c r="D16" s="1" t="e">
        <f t="shared" ref="D16:L16" si="6">D5/(D6/D9)</f>
        <v>#REF!</v>
      </c>
      <c r="E16" s="1" t="e">
        <f t="shared" si="6"/>
        <v>#REF!</v>
      </c>
      <c r="F16" s="1" t="e">
        <f t="shared" si="6"/>
        <v>#REF!</v>
      </c>
      <c r="G16" s="1" t="e">
        <f t="shared" si="6"/>
        <v>#REF!</v>
      </c>
      <c r="H16" s="1" t="e">
        <f t="shared" si="6"/>
        <v>#REF!</v>
      </c>
      <c r="I16" s="1" t="e">
        <f t="shared" si="6"/>
        <v>#REF!</v>
      </c>
      <c r="J16" s="1" t="e">
        <f t="shared" si="6"/>
        <v>#REF!</v>
      </c>
      <c r="K16" s="1" t="e">
        <f t="shared" si="6"/>
        <v>#REF!</v>
      </c>
      <c r="L16" s="1" t="e">
        <f t="shared" si="6"/>
        <v>#REF!</v>
      </c>
      <c r="M16" s="1" t="e">
        <f t="shared" ref="M16" si="7">M5/(M6/M9)</f>
        <v>#REF!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3:J7"/>
  <sheetViews>
    <sheetView workbookViewId="0"/>
  </sheetViews>
  <sheetFormatPr defaultColWidth="9.1015625" defaultRowHeight="13.8" x14ac:dyDescent="0.45"/>
  <cols>
    <col min="1" max="3" width="9.1015625" style="17"/>
    <col min="4" max="4" width="12.68359375" style="40" customWidth="1"/>
    <col min="5" max="5" width="6.578125" style="40" customWidth="1"/>
    <col min="6" max="6" width="12.68359375" style="40" customWidth="1"/>
    <col min="7" max="7" width="7.41796875" style="40" customWidth="1"/>
    <col min="8" max="8" width="12.68359375" style="40" customWidth="1"/>
    <col min="9" max="9" width="7.41796875" style="40" customWidth="1"/>
    <col min="10" max="10" width="12.68359375" style="40" customWidth="1"/>
    <col min="11" max="16384" width="9.1015625" style="17"/>
  </cols>
  <sheetData>
    <row r="3" spans="2:10" ht="14.1" x14ac:dyDescent="0.45">
      <c r="B3" s="110" t="s">
        <v>201</v>
      </c>
      <c r="C3" s="111" t="s">
        <v>200</v>
      </c>
      <c r="D3" s="32" t="s">
        <v>196</v>
      </c>
      <c r="E3" s="111" t="s">
        <v>200</v>
      </c>
      <c r="F3" s="33" t="s">
        <v>196</v>
      </c>
      <c r="G3" s="110" t="s">
        <v>199</v>
      </c>
      <c r="H3" s="34" t="s">
        <v>198</v>
      </c>
      <c r="I3" s="110" t="s">
        <v>199</v>
      </c>
      <c r="J3" s="35" t="s">
        <v>121</v>
      </c>
    </row>
    <row r="4" spans="2:10" ht="14.1" x14ac:dyDescent="0.45">
      <c r="B4" s="110"/>
      <c r="C4" s="110"/>
      <c r="D4" s="36" t="s">
        <v>197</v>
      </c>
      <c r="E4" s="110"/>
      <c r="F4" s="37" t="s">
        <v>197</v>
      </c>
      <c r="G4" s="110"/>
      <c r="H4" s="38" t="s">
        <v>198</v>
      </c>
      <c r="I4" s="110"/>
      <c r="J4" s="39" t="s">
        <v>121</v>
      </c>
    </row>
    <row r="5" spans="2:10" ht="14.1" x14ac:dyDescent="0.45">
      <c r="E5" s="36"/>
    </row>
    <row r="6" spans="2:10" ht="30" customHeight="1" x14ac:dyDescent="0.45">
      <c r="C6" s="112"/>
      <c r="E6" s="111" t="s">
        <v>200</v>
      </c>
      <c r="F6" s="114" t="s">
        <v>204</v>
      </c>
      <c r="H6" s="115" t="s">
        <v>202</v>
      </c>
      <c r="J6" s="109" t="s">
        <v>203</v>
      </c>
    </row>
    <row r="7" spans="2:10" x14ac:dyDescent="0.45">
      <c r="C7" s="113"/>
      <c r="E7" s="110"/>
      <c r="F7" s="114"/>
      <c r="H7" s="115"/>
      <c r="J7" s="109"/>
    </row>
  </sheetData>
  <mergeCells count="10">
    <mergeCell ref="B3:B4"/>
    <mergeCell ref="C6:C7"/>
    <mergeCell ref="F6:F7"/>
    <mergeCell ref="E6:E7"/>
    <mergeCell ref="H6:H7"/>
    <mergeCell ref="J6:J7"/>
    <mergeCell ref="I3:I4"/>
    <mergeCell ref="G3:G4"/>
    <mergeCell ref="E3:E4"/>
    <mergeCell ref="C3:C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V17"/>
  <sheetViews>
    <sheetView zoomScaleNormal="100" workbookViewId="0"/>
  </sheetViews>
  <sheetFormatPr defaultColWidth="9.1015625" defaultRowHeight="13.8" outlineLevelRow="1" x14ac:dyDescent="0.55000000000000004"/>
  <cols>
    <col min="1" max="1" width="4" style="10" customWidth="1"/>
    <col min="2" max="2" width="32.68359375" style="10" bestFit="1" customWidth="1"/>
    <col min="3" max="18" width="8.68359375" style="10" customWidth="1"/>
    <col min="19" max="16384" width="9.1015625" style="10"/>
  </cols>
  <sheetData>
    <row r="2" spans="2:22" ht="14.1" x14ac:dyDescent="0.55000000000000004">
      <c r="B2" s="18" t="s">
        <v>183</v>
      </c>
    </row>
    <row r="5" spans="2:22" ht="14.1" x14ac:dyDescent="0.55000000000000004">
      <c r="B5" s="21"/>
      <c r="C5" s="27" t="s">
        <v>10</v>
      </c>
      <c r="D5" s="27" t="s">
        <v>9</v>
      </c>
      <c r="E5" s="27" t="s">
        <v>8</v>
      </c>
      <c r="F5" s="27" t="s">
        <v>7</v>
      </c>
      <c r="G5" s="27" t="s">
        <v>6</v>
      </c>
      <c r="H5" s="27" t="s">
        <v>5</v>
      </c>
      <c r="I5" s="27" t="s">
        <v>4</v>
      </c>
      <c r="J5" s="27" t="s">
        <v>3</v>
      </c>
      <c r="K5" s="27" t="s">
        <v>2</v>
      </c>
      <c r="L5" s="27" t="s">
        <v>1</v>
      </c>
      <c r="M5" s="27" t="s">
        <v>186</v>
      </c>
      <c r="N5" s="27" t="s">
        <v>187</v>
      </c>
      <c r="O5" s="27" t="s">
        <v>189</v>
      </c>
      <c r="P5" s="27" t="s">
        <v>191</v>
      </c>
      <c r="Q5" s="27" t="s">
        <v>205</v>
      </c>
      <c r="R5" s="27" t="s">
        <v>211</v>
      </c>
      <c r="S5" s="27" t="s">
        <v>336</v>
      </c>
      <c r="T5" s="27" t="s">
        <v>338</v>
      </c>
      <c r="U5" s="27" t="s">
        <v>344</v>
      </c>
      <c r="V5" s="27" t="s">
        <v>348</v>
      </c>
    </row>
    <row r="6" spans="2:22" x14ac:dyDescent="0.55000000000000004">
      <c r="B6" s="10" t="s">
        <v>121</v>
      </c>
      <c r="C6" s="13">
        <f>IS!C4</f>
        <v>19.315000000000001</v>
      </c>
      <c r="D6" s="13">
        <f>IS!D4</f>
        <v>24.006</v>
      </c>
      <c r="E6" s="13">
        <f>IS!E4</f>
        <v>37.491</v>
      </c>
      <c r="F6" s="13">
        <f>IS!F4</f>
        <v>42.905000000000001</v>
      </c>
      <c r="G6" s="13">
        <f>IS!G4</f>
        <v>65.224999999999994</v>
      </c>
      <c r="H6" s="13">
        <f>IS!H4</f>
        <v>108.249</v>
      </c>
      <c r="I6" s="13">
        <f>IS!I4</f>
        <v>156.50800000000001</v>
      </c>
      <c r="J6" s="13">
        <f>IS!J4</f>
        <v>170.91</v>
      </c>
      <c r="K6" s="13">
        <f>IS!K4</f>
        <v>182.79499999999999</v>
      </c>
      <c r="L6" s="13">
        <f>IS!L4</f>
        <v>233.715</v>
      </c>
      <c r="M6" s="13">
        <f>IS!M4</f>
        <v>215.63900000000001</v>
      </c>
      <c r="N6" s="13">
        <f>IS!N4</f>
        <v>229.23400000000001</v>
      </c>
      <c r="O6" s="13">
        <f>IS!O4</f>
        <v>265.59500000000003</v>
      </c>
      <c r="P6" s="13">
        <f>IS!P4</f>
        <v>260.17399999999998</v>
      </c>
      <c r="Q6" s="13">
        <f>IS!Q4</f>
        <v>274.51499999999999</v>
      </c>
      <c r="R6" s="13">
        <f>IS!R4</f>
        <v>365.81700000000001</v>
      </c>
      <c r="S6" s="13">
        <f>IS!S4</f>
        <v>394</v>
      </c>
      <c r="T6" s="13">
        <f>IS!T4</f>
        <v>383</v>
      </c>
      <c r="U6" s="13">
        <f>IS!U4</f>
        <v>391</v>
      </c>
      <c r="V6" s="13">
        <f>IS!V4</f>
        <v>416.161</v>
      </c>
    </row>
    <row r="7" spans="2:22" x14ac:dyDescent="0.55000000000000004">
      <c r="B7" s="10" t="s">
        <v>21</v>
      </c>
      <c r="C7" s="19">
        <f>IS!C14</f>
        <v>1.9890000000000001</v>
      </c>
      <c r="D7" s="19">
        <f>IS!D14</f>
        <v>3.496</v>
      </c>
      <c r="E7" s="19">
        <f>IS!E14</f>
        <v>6.1189999999999998</v>
      </c>
      <c r="F7" s="19">
        <f>IS!F14</f>
        <v>8.2349999999999994</v>
      </c>
      <c r="G7" s="19">
        <f>IS!G14</f>
        <v>14.013</v>
      </c>
      <c r="H7" s="19">
        <f>IS!H14</f>
        <v>25.922000000000001</v>
      </c>
      <c r="I7" s="19">
        <f>IS!I14</f>
        <v>41.732999999999997</v>
      </c>
      <c r="J7" s="19">
        <f>IS!J14</f>
        <v>37.036999999999999</v>
      </c>
      <c r="K7" s="19">
        <f>IS!K14</f>
        <v>39.51</v>
      </c>
      <c r="L7" s="19">
        <f>IS!L14</f>
        <v>53.393999999999998</v>
      </c>
      <c r="M7" s="19">
        <f>IS!M14</f>
        <v>45.686999999999998</v>
      </c>
      <c r="N7" s="19">
        <f>IS!N14</f>
        <v>48.350999999999999</v>
      </c>
      <c r="O7" s="19">
        <f>IS!O14</f>
        <v>59.530999999999999</v>
      </c>
      <c r="P7" s="19">
        <f>IS!P14</f>
        <v>55.256</v>
      </c>
      <c r="Q7" s="19">
        <f>IS!Q14</f>
        <v>57.411000000000008</v>
      </c>
      <c r="R7" s="19">
        <f>IS!R14</f>
        <v>94.68</v>
      </c>
      <c r="S7" s="19">
        <f>IS!S14</f>
        <v>100</v>
      </c>
      <c r="T7" s="19">
        <f>IS!T14</f>
        <v>97</v>
      </c>
      <c r="U7" s="19">
        <f>IS!U14</f>
        <v>93.7</v>
      </c>
      <c r="V7" s="19">
        <f>IS!V14</f>
        <v>112.01</v>
      </c>
    </row>
    <row r="8" spans="2:22" x14ac:dyDescent="0.55000000000000004">
      <c r="B8" s="10" t="s">
        <v>160</v>
      </c>
      <c r="C8" s="19">
        <f>BS!C33</f>
        <v>9.984</v>
      </c>
      <c r="D8" s="19">
        <f>BS!D33</f>
        <v>14.532</v>
      </c>
      <c r="E8" s="19">
        <f>BS!E33</f>
        <v>21.03</v>
      </c>
      <c r="F8" s="19">
        <f>BS!F33</f>
        <v>31.64</v>
      </c>
      <c r="G8" s="19">
        <f>BS!G33</f>
        <v>47.790999999999997</v>
      </c>
      <c r="H8" s="19">
        <f>BS!H33</f>
        <v>76.614999999999995</v>
      </c>
      <c r="I8" s="19">
        <f>BS!I33</f>
        <v>118.21</v>
      </c>
      <c r="J8" s="19">
        <f>BS!J33</f>
        <v>123.54900000000001</v>
      </c>
      <c r="K8" s="19">
        <f>BS!K33</f>
        <v>111.547</v>
      </c>
      <c r="L8" s="19">
        <f>BS!L33</f>
        <v>119.355</v>
      </c>
      <c r="M8" s="19">
        <f>BS!M33</f>
        <v>128.249</v>
      </c>
      <c r="N8" s="19">
        <f>BS!N33</f>
        <v>134.047</v>
      </c>
      <c r="O8" s="19">
        <f>BS!O33</f>
        <v>107.14700000000001</v>
      </c>
      <c r="P8" s="19">
        <f>BS!P33</f>
        <v>90.488</v>
      </c>
      <c r="Q8" s="19">
        <f>BS!Q33</f>
        <v>65.338999999999999</v>
      </c>
      <c r="R8" s="19">
        <f>BS!R33</f>
        <v>63.09</v>
      </c>
      <c r="S8" s="19">
        <f>BS!S33</f>
        <v>50.671999999999997</v>
      </c>
      <c r="T8" s="19">
        <f>BS!T33</f>
        <v>62</v>
      </c>
      <c r="U8" s="19">
        <f>BS!U33</f>
        <v>57</v>
      </c>
      <c r="V8" s="19">
        <f>BS!V33</f>
        <v>73.733000000000004</v>
      </c>
    </row>
    <row r="9" spans="2:22" x14ac:dyDescent="0.55000000000000004">
      <c r="B9" s="10" t="s">
        <v>23</v>
      </c>
      <c r="C9" s="19">
        <f>BS!C4</f>
        <v>17.204999999999998</v>
      </c>
      <c r="D9" s="19">
        <f>BS!D4</f>
        <v>25.347000000000001</v>
      </c>
      <c r="E9" s="19">
        <f>BS!E4</f>
        <v>39.572000000000003</v>
      </c>
      <c r="F9" s="19">
        <f>BS!F4</f>
        <v>47.500999999999998</v>
      </c>
      <c r="G9" s="19">
        <f>BS!G4</f>
        <v>75.183000000000007</v>
      </c>
      <c r="H9" s="19">
        <f>BS!H4</f>
        <v>116.371</v>
      </c>
      <c r="I9" s="19">
        <f>BS!I4</f>
        <v>176.06399999999999</v>
      </c>
      <c r="J9" s="19">
        <f>BS!J4</f>
        <v>207</v>
      </c>
      <c r="K9" s="19">
        <f>BS!K4</f>
        <v>231.839</v>
      </c>
      <c r="L9" s="19">
        <f>BS!L4</f>
        <v>290.47899999999998</v>
      </c>
      <c r="M9" s="19">
        <f>BS!M4</f>
        <v>321.68599999999998</v>
      </c>
      <c r="N9" s="19">
        <f>BS!N4</f>
        <v>375.31900000000002</v>
      </c>
      <c r="O9" s="19">
        <f>BS!O4</f>
        <v>365.72500000000002</v>
      </c>
      <c r="P9" s="19">
        <f>BS!P4</f>
        <v>338.51600000000002</v>
      </c>
      <c r="Q9" s="19">
        <f>BS!Q4</f>
        <v>323.88799999999998</v>
      </c>
      <c r="R9" s="19">
        <f>BS!R4</f>
        <v>351.00200000000001</v>
      </c>
      <c r="S9" s="19">
        <f>BS!S4</f>
        <v>352.755</v>
      </c>
      <c r="T9" s="19">
        <f>BS!T4</f>
        <v>353</v>
      </c>
      <c r="U9" s="19">
        <f>BS!U4</f>
        <v>365</v>
      </c>
      <c r="V9" s="19">
        <f>BS!V4</f>
        <v>359.24099999999999</v>
      </c>
    </row>
    <row r="10" spans="2:22" x14ac:dyDescent="0.55000000000000004"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2:22" ht="14.1" x14ac:dyDescent="0.55000000000000004">
      <c r="B11" s="20" t="s">
        <v>151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2:22" x14ac:dyDescent="0.55000000000000004">
      <c r="B12" s="10" t="s">
        <v>170</v>
      </c>
      <c r="C12" s="41"/>
      <c r="D12" s="41">
        <f>D7/((D8+C8)/2)</f>
        <v>0.28520150106053194</v>
      </c>
      <c r="E12" s="41">
        <f t="shared" ref="E12:L12" si="0">E7/((E8+D8)/2)</f>
        <v>0.34413137618806594</v>
      </c>
      <c r="F12" s="41">
        <f t="shared" si="0"/>
        <v>0.31270172773875066</v>
      </c>
      <c r="G12" s="41">
        <f t="shared" si="0"/>
        <v>0.35283453563470185</v>
      </c>
      <c r="H12" s="41">
        <f t="shared" si="0"/>
        <v>0.41673231194636917</v>
      </c>
      <c r="I12" s="41">
        <f t="shared" si="0"/>
        <v>0.42841524445014756</v>
      </c>
      <c r="J12" s="41">
        <f t="shared" si="0"/>
        <v>0.30639603903060481</v>
      </c>
      <c r="K12" s="41">
        <f t="shared" si="0"/>
        <v>0.33611801136556979</v>
      </c>
      <c r="L12" s="41">
        <f t="shared" si="0"/>
        <v>0.46248191873608718</v>
      </c>
      <c r="M12" s="41">
        <f t="shared" ref="M12:V12" si="1">M7/((M8+L8)/2)</f>
        <v>0.36903281045540459</v>
      </c>
      <c r="N12" s="41">
        <f t="shared" si="1"/>
        <v>0.36867508463720378</v>
      </c>
      <c r="O12" s="41">
        <f t="shared" si="1"/>
        <v>0.49363582842027576</v>
      </c>
      <c r="P12" s="41">
        <f t="shared" si="1"/>
        <v>0.55917221139980267</v>
      </c>
      <c r="Q12" s="41">
        <f t="shared" si="1"/>
        <v>0.73685561552234224</v>
      </c>
      <c r="R12" s="41">
        <f t="shared" si="1"/>
        <v>1.4744333444938449</v>
      </c>
      <c r="S12" s="41">
        <f t="shared" si="1"/>
        <v>1.7580562929625005</v>
      </c>
      <c r="T12" s="41">
        <f t="shared" si="1"/>
        <v>1.7218119852314684</v>
      </c>
      <c r="U12" s="41">
        <f t="shared" si="1"/>
        <v>1.5747899159663865</v>
      </c>
      <c r="V12" s="41">
        <f t="shared" si="1"/>
        <v>1.7135688770241637</v>
      </c>
    </row>
    <row r="14" spans="2:22" outlineLevel="1" x14ac:dyDescent="0.55000000000000004">
      <c r="B14" s="10" t="s">
        <v>188</v>
      </c>
      <c r="C14" s="41"/>
      <c r="D14" s="41">
        <f t="shared" ref="D14:N14" si="2">D7/D6</f>
        <v>0.1456302591018912</v>
      </c>
      <c r="E14" s="41">
        <f t="shared" si="2"/>
        <v>0.16321250433437356</v>
      </c>
      <c r="F14" s="41">
        <f t="shared" si="2"/>
        <v>0.19193567183311966</v>
      </c>
      <c r="G14" s="41">
        <f t="shared" si="2"/>
        <v>0.21484093522422384</v>
      </c>
      <c r="H14" s="41">
        <f t="shared" si="2"/>
        <v>0.2394664153941376</v>
      </c>
      <c r="I14" s="41">
        <f t="shared" si="2"/>
        <v>0.26665090602397318</v>
      </c>
      <c r="J14" s="41">
        <f t="shared" si="2"/>
        <v>0.21670469837926393</v>
      </c>
      <c r="K14" s="41">
        <f t="shared" si="2"/>
        <v>0.21614376760852322</v>
      </c>
      <c r="L14" s="41">
        <f t="shared" si="2"/>
        <v>0.22845773698735639</v>
      </c>
      <c r="M14" s="41">
        <f t="shared" si="2"/>
        <v>0.21186798306428797</v>
      </c>
      <c r="N14" s="41">
        <f t="shared" si="2"/>
        <v>0.21092420845075335</v>
      </c>
      <c r="O14" s="41">
        <f t="shared" ref="O14:P14" si="3">O7/O6</f>
        <v>0.22414202074587244</v>
      </c>
      <c r="P14" s="41">
        <f t="shared" si="3"/>
        <v>0.21238094505984459</v>
      </c>
      <c r="Q14" s="41">
        <f t="shared" ref="Q14:R14" si="4">Q7/Q6</f>
        <v>0.20913611278072242</v>
      </c>
      <c r="R14" s="41">
        <f t="shared" si="4"/>
        <v>0.25881793355694244</v>
      </c>
      <c r="S14" s="41">
        <f t="shared" ref="S14:T14" si="5">S7/S6</f>
        <v>0.25380710659898476</v>
      </c>
      <c r="T14" s="41">
        <f t="shared" si="5"/>
        <v>0.25326370757180156</v>
      </c>
      <c r="U14" s="41">
        <f t="shared" ref="U14:V14" si="6">U7/U6</f>
        <v>0.23964194373401534</v>
      </c>
      <c r="V14" s="41">
        <f t="shared" si="6"/>
        <v>0.26915064121818238</v>
      </c>
    </row>
    <row r="15" spans="2:22" outlineLevel="1" x14ac:dyDescent="0.55000000000000004">
      <c r="B15" s="10" t="s">
        <v>171</v>
      </c>
      <c r="C15" s="28"/>
      <c r="D15" s="28">
        <f t="shared" ref="D15:V15" si="7">D6/((D9+C9)/2)</f>
        <v>1.1283135927805978</v>
      </c>
      <c r="E15" s="28">
        <f t="shared" si="7"/>
        <v>1.1550085491150508</v>
      </c>
      <c r="F15" s="28">
        <f t="shared" si="7"/>
        <v>0.98549492954187856</v>
      </c>
      <c r="G15" s="28">
        <f t="shared" si="7"/>
        <v>1.0633008379250757</v>
      </c>
      <c r="H15" s="28">
        <f t="shared" si="7"/>
        <v>1.1302191549119307</v>
      </c>
      <c r="I15" s="28">
        <f t="shared" si="7"/>
        <v>1.070378032725221</v>
      </c>
      <c r="J15" s="28">
        <f t="shared" si="7"/>
        <v>0.89233130756218293</v>
      </c>
      <c r="K15" s="28">
        <f t="shared" si="7"/>
        <v>0.83308457087906951</v>
      </c>
      <c r="L15" s="28">
        <f t="shared" si="7"/>
        <v>0.89491459225988768</v>
      </c>
      <c r="M15" s="28">
        <f t="shared" si="7"/>
        <v>0.70451267223706038</v>
      </c>
      <c r="N15" s="28">
        <f t="shared" si="7"/>
        <v>0.65776859563417767</v>
      </c>
      <c r="O15" s="28">
        <f t="shared" si="7"/>
        <v>0.71681303674275754</v>
      </c>
      <c r="P15" s="28">
        <f t="shared" si="7"/>
        <v>0.73887774213656965</v>
      </c>
      <c r="Q15" s="28">
        <f t="shared" si="7"/>
        <v>0.82884463258072105</v>
      </c>
      <c r="R15" s="28">
        <f t="shared" si="7"/>
        <v>1.084078886929722</v>
      </c>
      <c r="S15" s="28">
        <f t="shared" si="7"/>
        <v>1.1197046707883545</v>
      </c>
      <c r="T15" s="28">
        <f t="shared" si="7"/>
        <v>1.0853624841481817</v>
      </c>
      <c r="U15" s="28">
        <f t="shared" si="7"/>
        <v>1.0891364902506964</v>
      </c>
      <c r="V15" s="28">
        <f t="shared" si="7"/>
        <v>1.1492334733880021</v>
      </c>
    </row>
    <row r="16" spans="2:22" outlineLevel="1" x14ac:dyDescent="0.55000000000000004">
      <c r="B16" s="21" t="s">
        <v>172</v>
      </c>
      <c r="C16" s="42"/>
      <c r="D16" s="42">
        <f t="shared" ref="D16:V16" si="8">(D9+C9)/(D8+C8)</f>
        <v>1.7356828193832601</v>
      </c>
      <c r="E16" s="42">
        <f t="shared" si="8"/>
        <v>1.8255160002249597</v>
      </c>
      <c r="F16" s="42">
        <f t="shared" si="8"/>
        <v>1.6531801784697171</v>
      </c>
      <c r="G16" s="42">
        <f t="shared" si="8"/>
        <v>1.5445355088063855</v>
      </c>
      <c r="H16" s="42">
        <f t="shared" si="8"/>
        <v>1.5397488867096443</v>
      </c>
      <c r="I16" s="42">
        <f t="shared" si="8"/>
        <v>1.5010137302707558</v>
      </c>
      <c r="J16" s="42">
        <f t="shared" si="8"/>
        <v>1.5844870304724952</v>
      </c>
      <c r="K16" s="42">
        <f t="shared" si="8"/>
        <v>1.8666374587402592</v>
      </c>
      <c r="L16" s="42">
        <f t="shared" si="8"/>
        <v>2.2620765519571076</v>
      </c>
      <c r="M16" s="42">
        <f t="shared" si="8"/>
        <v>2.4723550508069336</v>
      </c>
      <c r="N16" s="42">
        <f t="shared" si="8"/>
        <v>2.6573222618720833</v>
      </c>
      <c r="O16" s="42">
        <f t="shared" si="8"/>
        <v>3.0723981525245239</v>
      </c>
      <c r="P16" s="42">
        <f t="shared" si="8"/>
        <v>3.5633415133959065</v>
      </c>
      <c r="Q16" s="42">
        <f t="shared" si="8"/>
        <v>4.2508936192059146</v>
      </c>
      <c r="R16" s="42">
        <f t="shared" si="8"/>
        <v>5.2549657787571338</v>
      </c>
      <c r="S16" s="42">
        <f t="shared" si="8"/>
        <v>6.1862221128320538</v>
      </c>
      <c r="T16" s="42">
        <f t="shared" si="8"/>
        <v>6.2638011218403866</v>
      </c>
      <c r="U16" s="42">
        <f t="shared" si="8"/>
        <v>6.0336134453781511</v>
      </c>
      <c r="V16" s="42">
        <f t="shared" si="8"/>
        <v>5.539848393290141</v>
      </c>
    </row>
    <row r="17" spans="2:22" outlineLevel="1" x14ac:dyDescent="0.55000000000000004">
      <c r="B17" s="10" t="s">
        <v>170</v>
      </c>
      <c r="C17" s="41"/>
      <c r="D17" s="41">
        <f t="shared" ref="D17:N17" si="9">D14*D15*D16</f>
        <v>0.28520150106053194</v>
      </c>
      <c r="E17" s="41">
        <f t="shared" si="9"/>
        <v>0.34413137618806589</v>
      </c>
      <c r="F17" s="41">
        <f t="shared" si="9"/>
        <v>0.31270172773875066</v>
      </c>
      <c r="G17" s="41">
        <f t="shared" si="9"/>
        <v>0.3528345356347018</v>
      </c>
      <c r="H17" s="41">
        <f t="shared" si="9"/>
        <v>0.41673231194636912</v>
      </c>
      <c r="I17" s="41">
        <f t="shared" si="9"/>
        <v>0.42841524445014756</v>
      </c>
      <c r="J17" s="41">
        <f t="shared" si="9"/>
        <v>0.30639603903060481</v>
      </c>
      <c r="K17" s="41">
        <f t="shared" si="9"/>
        <v>0.33611801136556979</v>
      </c>
      <c r="L17" s="41">
        <f t="shared" si="9"/>
        <v>0.46248191873608718</v>
      </c>
      <c r="M17" s="41">
        <f t="shared" si="9"/>
        <v>0.36903281045540465</v>
      </c>
      <c r="N17" s="41">
        <f t="shared" si="9"/>
        <v>0.36867508463720366</v>
      </c>
      <c r="O17" s="41">
        <f t="shared" ref="O17:P17" si="10">O14*O15*O16</f>
        <v>0.4936358284202757</v>
      </c>
      <c r="P17" s="41">
        <f t="shared" si="10"/>
        <v>0.55917221139980267</v>
      </c>
      <c r="Q17" s="41">
        <f t="shared" ref="Q17:R17" si="11">Q14*Q15*Q16</f>
        <v>0.73685561552234224</v>
      </c>
      <c r="R17" s="41">
        <f t="shared" si="11"/>
        <v>1.4744333444938449</v>
      </c>
      <c r="S17" s="41">
        <f t="shared" ref="S17:T17" si="12">S14*S15*S16</f>
        <v>1.7580562929625008</v>
      </c>
      <c r="T17" s="41">
        <f t="shared" si="12"/>
        <v>1.7218119852314684</v>
      </c>
      <c r="U17" s="41">
        <f t="shared" ref="U17:V17" si="13">U14*U15*U16</f>
        <v>1.5747899159663867</v>
      </c>
      <c r="V17" s="41">
        <f t="shared" si="13"/>
        <v>1.7135688770241637</v>
      </c>
    </row>
  </sheetData>
  <phoneticPr fontId="1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Valuation summary</vt:lpstr>
      <vt:lpstr>Valuation - base - in class</vt:lpstr>
      <vt:lpstr>Valuation - base</vt:lpstr>
      <vt:lpstr>Forecast vs Actuals 2025</vt:lpstr>
      <vt:lpstr>Revenue forecast</vt:lpstr>
      <vt:lpstr>Valuation - new product</vt:lpstr>
      <vt:lpstr>Valuation - lower margins</vt:lpstr>
      <vt:lpstr>Valuation - base - 2026</vt:lpstr>
      <vt:lpstr>cost of capital</vt:lpstr>
      <vt:lpstr>IS</vt:lpstr>
      <vt:lpstr>IS common size</vt:lpstr>
      <vt:lpstr>IS graphs</vt:lpstr>
      <vt:lpstr>Sales and profit growth</vt:lpstr>
      <vt:lpstr>BS</vt:lpstr>
      <vt:lpstr>BS common size</vt:lpstr>
      <vt:lpstr>BS graphs</vt:lpstr>
      <vt:lpstr>CF</vt:lpstr>
      <vt:lpstr>WC days chart</vt:lpstr>
      <vt:lpstr>Efficiency ratios</vt:lpstr>
      <vt:lpstr>Liquidity</vt:lpstr>
      <vt:lpstr>Leverage</vt:lpstr>
      <vt:lpstr>Share price performance</vt:lpstr>
      <vt:lpstr>ROE</vt:lpstr>
      <vt:lpstr>Profitability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dcterms:created xsi:type="dcterms:W3CDTF">2016-02-26T01:16:55Z</dcterms:created>
  <dcterms:modified xsi:type="dcterms:W3CDTF">2025-11-05T01:44:08Z</dcterms:modified>
</cp:coreProperties>
</file>