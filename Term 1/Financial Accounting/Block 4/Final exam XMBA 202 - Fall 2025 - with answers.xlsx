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935860719f7b8c5/Desktop/UC Berkeley 2025/EMBA 202/Final exam/"/>
    </mc:Choice>
  </mc:AlternateContent>
  <xr:revisionPtr revIDLastSave="314" documentId="8_{121D8856-302C-4782-89D2-3A32DFD74415}" xr6:coauthVersionLast="47" xr6:coauthVersionMax="47" xr10:uidLastSave="{C71AA64C-58A7-4945-894E-F32CF93B3271}"/>
  <bookViews>
    <workbookView xWindow="-96" yWindow="-96" windowWidth="23232" windowHeight="13872" xr2:uid="{00000000-000D-0000-FFFF-FFFF00000000}"/>
  </bookViews>
  <sheets>
    <sheet name="MSFT - BS" sheetId="12" r:id="rId1"/>
    <sheet name="MSFT - IS" sheetId="15" r:id="rId2"/>
    <sheet name="MSFT - CF" sheetId="14" r:id="rId3"/>
    <sheet name="MSFT - segment info" sheetId="13" r:id="rId4"/>
    <sheet name="P3- MSFT-AR" sheetId="4" r:id="rId5"/>
    <sheet name="P4-WMT-IS and BS" sheetId="5" r:id="rId6"/>
    <sheet name="P4-TGT-IS and BS" sheetId="6" r:id="rId7"/>
    <sheet name="P5-MSFT-PPE" sheetId="7" r:id="rId8"/>
    <sheet name="P6-MSFT-leverage" sheetId="16" r:id="rId9"/>
    <sheet name="P8-CF statement" sheetId="17" r:id="rId10"/>
  </sheets>
  <externalReferences>
    <externalReference r:id="rId11"/>
  </externalReferences>
  <definedNames>
    <definedName name="Balance_Sheet" localSheetId="8">'P6-MSFT-leverage'!$B$3:$F$47</definedName>
    <definedName name="Balance_Sheet">'MSFT - BS'!$B$3:$F$48</definedName>
    <definedName name="Cash_Flow">'MSFT - CF'!$B$3:$E$47</definedName>
    <definedName name="Fin_Operating_Segment_History" localSheetId="3">'MSFT - segment info'!$C$7:$C$9,'MSFT - segment info'!$E$7:$E$9,'MSFT - segment info'!$C$14:$C$16,'MSFT - segment info'!$E$14:$E$16</definedName>
    <definedName name="Fin_Operating_Segment_History">'[1]Segment History'!$B$6:$F$8,'[1]Segment History'!$H$6:$L$8,'[1]Segment History'!$B$13:$F$15,'[1]Segment History'!$H$13:$L$15</definedName>
    <definedName name="Income_Statement">#REF!</definedName>
    <definedName name="_xlnm.Print_Area" localSheetId="0">'MSFT - BS'!$B$3:$F$46</definedName>
    <definedName name="_xlnm.Print_Area" localSheetId="2">'MSFT - CF'!$B$3:$E$45</definedName>
    <definedName name="_xlnm.Print_Area" localSheetId="8">'P6-MSFT-leverage'!$B$3:$F$45</definedName>
    <definedName name="Yearly_Income_Statements">'MSFT - IS'!$C$7:$G$28</definedName>
  </definedNames>
  <calcPr calcId="191029"/>
  <customWorkbookViews>
    <customWorkbookView name="Veselina Dinova - Personal View" guid="{006B526B-49B3-4332-BE4F-B9DDDA2E0612}" mergeInterval="0" personalView="1" maximized="1" xWindow="-16" yWindow="-16" windowWidth="3872" windowHeight="2312" activeSheetId="1"/>
    <customWorkbookView name="Vikas Garg - Personal View" guid="{CACCFC8A-4D84-9149-AC33-04849FD9F7AF}" mergeInterval="0" personalView="1" maximized="1" windowWidth="1920" windowHeight="108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0" i="17" l="1"/>
  <c r="D59" i="17"/>
  <c r="D55" i="17"/>
  <c r="D54" i="17"/>
  <c r="D56" i="17" s="1"/>
  <c r="D53" i="17"/>
  <c r="D51" i="17"/>
  <c r="D50" i="17"/>
  <c r="D49" i="17"/>
  <c r="D46" i="17"/>
  <c r="D45" i="17"/>
  <c r="D44" i="17"/>
  <c r="D43" i="17"/>
  <c r="D42" i="17"/>
  <c r="D41" i="17"/>
  <c r="D40" i="17"/>
  <c r="D36" i="17"/>
  <c r="C36" i="17"/>
  <c r="D29" i="17"/>
  <c r="C29" i="17"/>
  <c r="D20" i="17"/>
  <c r="D39" i="17" s="1"/>
  <c r="D47" i="17" s="1"/>
  <c r="D58" i="17" s="1"/>
  <c r="C32" i="7" l="1"/>
  <c r="C25" i="7"/>
  <c r="D6" i="14"/>
  <c r="E6" i="14"/>
  <c r="F6" i="14"/>
  <c r="C6" i="14"/>
  <c r="E6" i="12"/>
  <c r="F6" i="12"/>
  <c r="G6" i="12"/>
  <c r="D6" i="12"/>
  <c r="E61" i="16"/>
  <c r="F61" i="16"/>
  <c r="G61" i="16"/>
  <c r="E62" i="16"/>
  <c r="F62" i="16"/>
  <c r="G62" i="16"/>
  <c r="E63" i="16"/>
  <c r="F63" i="16"/>
  <c r="G63" i="16"/>
  <c r="D63" i="16"/>
  <c r="D62" i="16"/>
  <c r="D61" i="16"/>
  <c r="E51" i="16"/>
  <c r="F51" i="16"/>
  <c r="G51" i="16"/>
  <c r="E52" i="16"/>
  <c r="F52" i="16"/>
  <c r="G52" i="16"/>
  <c r="E53" i="16"/>
  <c r="F53" i="16"/>
  <c r="G53" i="16"/>
  <c r="E54" i="16"/>
  <c r="F54" i="16"/>
  <c r="G54" i="16"/>
  <c r="E55" i="16"/>
  <c r="F55" i="16"/>
  <c r="G55" i="16"/>
  <c r="E56" i="16"/>
  <c r="F56" i="16"/>
  <c r="G56" i="16"/>
  <c r="D54" i="16"/>
  <c r="D56" i="16"/>
  <c r="D55" i="16"/>
  <c r="D53" i="16"/>
  <c r="D52" i="16"/>
  <c r="D51" i="16"/>
  <c r="C18" i="7"/>
  <c r="C16" i="7"/>
  <c r="C15" i="7"/>
  <c r="C33" i="7" s="1"/>
  <c r="C34" i="7" s="1"/>
  <c r="C35" i="7" s="1"/>
  <c r="C36" i="7" s="1"/>
  <c r="C14" i="7"/>
  <c r="C26" i="7" s="1"/>
  <c r="F13" i="4"/>
  <c r="G29" i="13"/>
  <c r="E29" i="13"/>
  <c r="G28" i="13"/>
  <c r="E28" i="13"/>
  <c r="G27" i="13"/>
  <c r="E27" i="13"/>
  <c r="G24" i="13"/>
  <c r="E24" i="13"/>
  <c r="C24" i="13"/>
  <c r="G23" i="13"/>
  <c r="E23" i="13"/>
  <c r="C23" i="13"/>
  <c r="G22" i="13"/>
  <c r="E22" i="13"/>
  <c r="C22" i="13"/>
  <c r="F6" i="4"/>
  <c r="F11" i="4" s="1"/>
  <c r="D8" i="4"/>
  <c r="D6" i="4" s="1"/>
  <c r="D11" i="4" s="1"/>
  <c r="E8" i="4"/>
  <c r="E6" i="4" s="1"/>
  <c r="E11" i="4" s="1"/>
  <c r="F8" i="4"/>
  <c r="C8" i="4"/>
  <c r="C6" i="4" s="1"/>
  <c r="C11" i="4" s="1"/>
  <c r="D7" i="5"/>
  <c r="C7" i="5"/>
  <c r="D30" i="5"/>
  <c r="D29" i="5"/>
  <c r="D28" i="5"/>
  <c r="D29" i="6"/>
  <c r="D28" i="6"/>
  <c r="D27" i="6"/>
  <c r="C19" i="7" l="1"/>
  <c r="C20" i="7" s="1"/>
  <c r="D30" i="6"/>
  <c r="D31" i="5"/>
  <c r="C27" i="7" l="1"/>
  <c r="C28" i="7" s="1"/>
  <c r="C29" i="7" s="1"/>
</calcChain>
</file>

<file path=xl/sharedStrings.xml><?xml version="1.0" encoding="utf-8"?>
<sst xmlns="http://schemas.openxmlformats.org/spreadsheetml/2006/main" count="357" uniqueCount="257">
  <si>
    <t>Total current liabilities</t>
  </si>
  <si>
    <t>Accounts payable</t>
  </si>
  <si>
    <t>Current liabilities:</t>
  </si>
  <si>
    <t>Goodwill</t>
  </si>
  <si>
    <t>Total current assets</t>
  </si>
  <si>
    <t>Inventories</t>
  </si>
  <si>
    <t>Cash and cash equivalents</t>
  </si>
  <si>
    <t>Current assets:</t>
  </si>
  <si>
    <t>Interest expense</t>
  </si>
  <si>
    <t>Sales and marketing</t>
  </si>
  <si>
    <t>Purchases of investments</t>
  </si>
  <si>
    <t>Deferred income taxes</t>
  </si>
  <si>
    <t>Gross profit</t>
  </si>
  <si>
    <t xml:space="preserve">Allowance for uncollectable accounts </t>
  </si>
  <si>
    <t>Allowance as % of gross AR</t>
  </si>
  <si>
    <t>Sales of investments</t>
  </si>
  <si>
    <t>Total liabilities and equity</t>
  </si>
  <si>
    <t>Operating income</t>
  </si>
  <si>
    <t xml:space="preserve">Days AR </t>
  </si>
  <si>
    <t xml:space="preserve">Days Inventory </t>
  </si>
  <si>
    <t>Days AP</t>
  </si>
  <si>
    <t>Cost of sales</t>
  </si>
  <si>
    <t xml:space="preserve">Total </t>
  </si>
  <si>
    <t xml:space="preserve">Prior year </t>
  </si>
  <si>
    <t xml:space="preserve">Current year </t>
  </si>
  <si>
    <t xml:space="preserve">Cash </t>
  </si>
  <si>
    <t xml:space="preserve">Net income </t>
  </si>
  <si>
    <t xml:space="preserve">Cash flow statement </t>
  </si>
  <si>
    <t xml:space="preserve">Depreciation </t>
  </si>
  <si>
    <t>Change in AR</t>
  </si>
  <si>
    <t>Change in Inventory</t>
  </si>
  <si>
    <t xml:space="preserve">Beginning cash </t>
  </si>
  <si>
    <t xml:space="preserve">Long-term loan </t>
  </si>
  <si>
    <t>Interest payable</t>
  </si>
  <si>
    <t>Days AR plus Days Inventory minus Days AP</t>
  </si>
  <si>
    <t>3A</t>
  </si>
  <si>
    <t>Current liabilities</t>
  </si>
  <si>
    <t>4A</t>
  </si>
  <si>
    <t>5A</t>
  </si>
  <si>
    <t>5C</t>
  </si>
  <si>
    <t> </t>
  </si>
  <si>
    <t>Revenues</t>
  </si>
  <si>
    <t>Total selling and administrative expense</t>
  </si>
  <si>
    <t>NET INCOME</t>
  </si>
  <si>
    <t>Cash and equivalents</t>
  </si>
  <si>
    <t>Accounts receivable, net</t>
  </si>
  <si>
    <t>Current portion of long-term debt</t>
  </si>
  <si>
    <t>Net income</t>
  </si>
  <si>
    <t>Other income (expense), net</t>
  </si>
  <si>
    <t>Income from operations</t>
  </si>
  <si>
    <t>Cost of goods sold</t>
  </si>
  <si>
    <t>Net revenue</t>
  </si>
  <si>
    <t>Current assets</t>
  </si>
  <si>
    <t>Common stock repurchased</t>
  </si>
  <si>
    <t>Net income (loss)</t>
  </si>
  <si>
    <t>Other long-term liabilities</t>
  </si>
  <si>
    <t>Long-term debt</t>
  </si>
  <si>
    <t>Net AR</t>
  </si>
  <si>
    <t>Walmart - Income statement - selected items</t>
  </si>
  <si>
    <t>Walmart - Balance sheet - selected items</t>
  </si>
  <si>
    <t>Target - Income statement - selected items</t>
  </si>
  <si>
    <t xml:space="preserve">Total liabilities </t>
  </si>
  <si>
    <t>Equity</t>
  </si>
  <si>
    <t>Selling, general, and administrative expenses</t>
  </si>
  <si>
    <t>Other current assets</t>
  </si>
  <si>
    <t>February, 2025</t>
  </si>
  <si>
    <t>February, 2024</t>
  </si>
  <si>
    <t>January, 2025</t>
  </si>
  <si>
    <t>January, 2024</t>
  </si>
  <si>
    <t>MICROSOFT CORPORATION</t>
  </si>
  <si>
    <t>BALANCE SHEETS</t>
  </si>
  <si>
    <t>(In millions) (Unaudited)</t>
  </si>
  <si>
    <t>June 30, 2022</t>
  </si>
  <si>
    <t>June 30, 2023</t>
  </si>
  <si>
    <t>June 30, 2024</t>
  </si>
  <si>
    <t>June 30, 2025</t>
  </si>
  <si>
    <t>Assets</t>
  </si>
  <si>
    <t xml:space="preserve">   Cash and cash equivalents</t>
  </si>
  <si>
    <t xml:space="preserve">   Short-term investments</t>
  </si>
  <si>
    <t xml:space="preserve">      Total cash, cash equivalents, and short-term investments</t>
  </si>
  <si>
    <t xml:space="preserve">  Accounts receivable, net of allowance for doubtful accounts
     </t>
  </si>
  <si>
    <t xml:space="preserve">   Inventories</t>
  </si>
  <si>
    <t xml:space="preserve">   Other current assets</t>
  </si>
  <si>
    <t xml:space="preserve">      Total current assets</t>
  </si>
  <si>
    <t>Property and equipment, net of accumulated
   depreciation of $93,653 and $76,421</t>
  </si>
  <si>
    <t>Operating lease right-of-use assets</t>
  </si>
  <si>
    <t>Equity and other investments</t>
  </si>
  <si>
    <t>Intangible assets, net</t>
  </si>
  <si>
    <t>Other long-term assets</t>
  </si>
  <si>
    <t xml:space="preserve">            Total assets</t>
  </si>
  <si>
    <t>Liabilities and stockholders' equity</t>
  </si>
  <si>
    <t xml:space="preserve">   Accounts payable</t>
  </si>
  <si>
    <t xml:space="preserve">   Short-term debt</t>
  </si>
  <si>
    <t xml:space="preserve">   Current portion of long-term debt</t>
  </si>
  <si>
    <t xml:space="preserve">   Accrued compensation</t>
  </si>
  <si>
    <t xml:space="preserve">   Short-term income taxes</t>
  </si>
  <si>
    <t xml:space="preserve">   Short-term unearned revenue</t>
  </si>
  <si>
    <t xml:space="preserve">   Other current liabilities</t>
  </si>
  <si>
    <t xml:space="preserve">      Total current liabilities</t>
  </si>
  <si>
    <t>Long-term income taxes</t>
  </si>
  <si>
    <t>Long-term unearned revenue</t>
  </si>
  <si>
    <t>Operating lease liabilities</t>
  </si>
  <si>
    <t xml:space="preserve">         Total liabilities</t>
  </si>
  <si>
    <t>Commitments and contingencies</t>
  </si>
  <si>
    <t>Stockholders' equity:</t>
  </si>
  <si>
    <t xml:space="preserve">   Common stock and paid-in capital - shares authorized 
      24,000; outstanding 7,434 and 7,434</t>
  </si>
  <si>
    <t xml:space="preserve">   Retained earnings</t>
  </si>
  <si>
    <t xml:space="preserve">   Accumulated other comprehensive loss</t>
  </si>
  <si>
    <t xml:space="preserve">         Total stockholders' equity</t>
  </si>
  <si>
    <t xml:space="preserve">            Total liabilities and stockholders' equity</t>
  </si>
  <si>
    <t>In $'M</t>
  </si>
  <si>
    <t xml:space="preserve">Gross AR </t>
  </si>
  <si>
    <t>3C</t>
  </si>
  <si>
    <t>PPE - Data centers expansion and expense</t>
  </si>
  <si>
    <t>Value of new data center equipment</t>
  </si>
  <si>
    <t xml:space="preserve">Option 1 - straight line with useful life </t>
  </si>
  <si>
    <t xml:space="preserve">Option 2 - straight line with useful life </t>
  </si>
  <si>
    <t xml:space="preserve">Option 3 - double-declining with useful life </t>
  </si>
  <si>
    <t>Depreciation expense option 1</t>
  </si>
  <si>
    <t>Depreciation expense option 2</t>
  </si>
  <si>
    <t>Depreciation expense option 3</t>
  </si>
  <si>
    <t xml:space="preserve">Sale in two years </t>
  </si>
  <si>
    <t>Microsoft Corporation</t>
  </si>
  <si>
    <t>Segment Revenue and Operating Income</t>
  </si>
  <si>
    <t>(In millions)</t>
  </si>
  <si>
    <t>Revenue</t>
  </si>
  <si>
    <t>Fiscal Year 2023</t>
  </si>
  <si>
    <t>Fiscal Year 2024</t>
  </si>
  <si>
    <t>Fiscal Year 2025</t>
  </si>
  <si>
    <t>Productivity and Business Processes</t>
  </si>
  <si>
    <t>Intelligent Cloud</t>
  </si>
  <si>
    <t>More Personal Computing</t>
  </si>
  <si>
    <t xml:space="preserve">  Total</t>
  </si>
  <si>
    <t>Operating Income</t>
  </si>
  <si>
    <t>Operating profit margins</t>
  </si>
  <si>
    <t>MICROSOFT CORPORATION</t>
    <phoneticPr fontId="0" type="noConversion"/>
  </si>
  <si>
    <t>CASH FLOWS STATEMENTS</t>
  </si>
  <si>
    <t>Operations</t>
  </si>
  <si>
    <t>Adjustments to reconcile net income to 
   net cash from operations:</t>
  </si>
  <si>
    <t xml:space="preserve">   Depreciation, amortization, and other</t>
  </si>
  <si>
    <t xml:space="preserve">   Stock-based compensation expense</t>
  </si>
  <si>
    <t xml:space="preserve">   Net recognized losses on investments and derivatives</t>
  </si>
  <si>
    <t xml:space="preserve">   Deferred income taxes</t>
  </si>
  <si>
    <t xml:space="preserve">   Changes in operating assets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</si>
  <si>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</si>
  <si>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</si>
  <si>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</si>
  <si>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</si>
  <si>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</si>
  <si>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Unearned revenue</t>
  </si>
  <si>
    <t xml:space="preserve">      Income taxes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</si>
  <si>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</si>
  <si>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</si>
  <si>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</si>
  <si>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</si>
  <si>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(repayments) of debt, maturities of
  90 days or less, net</t>
  </si>
  <si>
    <t>Proceeds from issuance of debt</t>
  </si>
  <si>
    <t>Repayments of debt</t>
  </si>
  <si>
    <t>Common stock issued</t>
  </si>
  <si>
    <t>Common stock cash dividends paid</t>
  </si>
  <si>
    <t>Other, net</t>
  </si>
  <si>
    <t xml:space="preserve">         Net cash used in financing</t>
  </si>
  <si>
    <t>Investing</t>
  </si>
  <si>
    <t>Additions to property and equipment</t>
  </si>
  <si>
    <t>Acquisition of companies, net of cash acquired and divestitures, 
   and purchases of intangible and other assets</t>
  </si>
  <si>
    <t>Maturities of investments</t>
  </si>
  <si>
    <t xml:space="preserve"> 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</si>
  <si>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</si>
  <si>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</si>
  <si>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</si>
  <si>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</si>
  <si>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INCOME STATEMENTS</t>
  </si>
  <si>
    <t>(In millions, except per share amounts)</t>
  </si>
  <si>
    <t>FY20</t>
  </si>
  <si>
    <t>FY21</t>
  </si>
  <si>
    <t>FY22</t>
  </si>
  <si>
    <t>FY23</t>
  </si>
  <si>
    <t>FY24</t>
  </si>
  <si>
    <t>FY25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</si>
  <si>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</si>
  <si>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</si>
  <si>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</si>
  <si>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</si>
  <si>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</si>
  <si>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</si>
  <si>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</si>
  <si>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 xml:space="preserve">Research and development </t>
  </si>
  <si>
    <t xml:space="preserve">General and administrative </t>
  </si>
  <si>
    <t>Impairment and restructuring</t>
  </si>
  <si>
    <t>Income before income taxes</t>
  </si>
  <si>
    <t>Provision for income taxes</t>
  </si>
  <si>
    <t>Earnings per share:</t>
  </si>
  <si>
    <t xml:space="preserve">   Basic</t>
  </si>
  <si>
    <t xml:space="preserve">   Diluted</t>
  </si>
  <si>
    <t xml:space="preserve">Bad debt expense </t>
  </si>
  <si>
    <t xml:space="preserve">Write off the most recent year </t>
  </si>
  <si>
    <t>5B</t>
  </si>
  <si>
    <t xml:space="preserve">Current operating income </t>
  </si>
  <si>
    <t>Difference between the depreciaiton expense</t>
  </si>
  <si>
    <t xml:space="preserve">Extra depreciation as % of ops income </t>
  </si>
  <si>
    <t>Book value at the end of the second year</t>
  </si>
  <si>
    <t>Gain/(loss) on sale</t>
  </si>
  <si>
    <t xml:space="preserve">Tax rate </t>
  </si>
  <si>
    <t>Sale year</t>
  </si>
  <si>
    <t>Tax owned / (credit) from the sale</t>
  </si>
  <si>
    <t>Selected items from the income statement</t>
  </si>
  <si>
    <t xml:space="preserve">Revenue </t>
  </si>
  <si>
    <t>Pre-tax income / (loss)</t>
  </si>
  <si>
    <t>Operating income / (loss)</t>
  </si>
  <si>
    <t>Debt to assets</t>
  </si>
  <si>
    <t>Debt to equity</t>
  </si>
  <si>
    <t xml:space="preserve">Interest coverage </t>
  </si>
  <si>
    <t>Leverage ratios</t>
  </si>
  <si>
    <t xml:space="preserve">AR data </t>
  </si>
  <si>
    <t xml:space="preserve">Proceeds from sale incl tax effect </t>
  </si>
  <si>
    <t xml:space="preserve">Sale price in 2 years </t>
  </si>
  <si>
    <t>Option 1:</t>
  </si>
  <si>
    <t>Option 2:</t>
  </si>
  <si>
    <t xml:space="preserve">Cash flow statement preparation </t>
  </si>
  <si>
    <t xml:space="preserve">ABC Company </t>
  </si>
  <si>
    <t>Inputs</t>
  </si>
  <si>
    <t xml:space="preserve">Sale of equipment </t>
  </si>
  <si>
    <t>Equipment book value</t>
  </si>
  <si>
    <t xml:space="preserve">Dividends paid </t>
  </si>
  <si>
    <t>Shares issued (in $)</t>
  </si>
  <si>
    <t>Income statement</t>
  </si>
  <si>
    <t>Sales</t>
  </si>
  <si>
    <t>COGS</t>
  </si>
  <si>
    <t>Wages expense</t>
  </si>
  <si>
    <t>Advertising</t>
  </si>
  <si>
    <t>Depreciation</t>
  </si>
  <si>
    <t>Loss on sale of equipment</t>
  </si>
  <si>
    <t>Balance sheet</t>
  </si>
  <si>
    <t>Current  year</t>
  </si>
  <si>
    <t>AR</t>
  </si>
  <si>
    <t>Inventory</t>
  </si>
  <si>
    <t>Prepaid Advertising</t>
  </si>
  <si>
    <t xml:space="preserve">PPE, gross </t>
  </si>
  <si>
    <t>Accumulated depreciation</t>
  </si>
  <si>
    <t>Total assets</t>
  </si>
  <si>
    <t>AP</t>
  </si>
  <si>
    <t>Common stock</t>
  </si>
  <si>
    <t>Retained earnings</t>
  </si>
  <si>
    <t>Change in Prepaid advertising</t>
  </si>
  <si>
    <t>Change in AP</t>
  </si>
  <si>
    <t>Change in Interest payable</t>
  </si>
  <si>
    <t>Net cash from operating activities</t>
  </si>
  <si>
    <t>CapEx</t>
  </si>
  <si>
    <t>Sale of equipment  proceeds</t>
  </si>
  <si>
    <t>Net cash flow from investing activities</t>
  </si>
  <si>
    <t>Dividends paid</t>
  </si>
  <si>
    <t xml:space="preserve">Stock issuance </t>
  </si>
  <si>
    <t>Net cash from financing activities</t>
  </si>
  <si>
    <t>Total change in cash</t>
  </si>
  <si>
    <t>Ending cash</t>
  </si>
  <si>
    <t>Target - Balance sheet - selected items</t>
  </si>
  <si>
    <t>Revenue 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</si>
</sst>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&quot;$ &quot;#,##0_);_(&quot;$ &quot;\(#,##0\)"/>
    <numFmt numFmtId="165" formatCode="0.0%"/>
    <numFmt numFmtId="166" formatCode="&quot;$&quot;#,##0.0_);\(&quot;$&quot;#,##0.0\)"/>
    <numFmt numFmtId="167" formatCode="#,##0.0_);\(#,##0.0\)"/>
    <numFmt numFmtId="168" formatCode="[$-409]mmmm\ d\,\ yyyy;@"/>
    <numFmt numFmtId="169" formatCode="_(&quot;$&quot;#,##0_);_(&quot;$&quot;\(#,##0\);_(@_)"/>
    <numFmt numFmtId="170" formatCode="#,##0.0\ ;\(#,##0.0\)"/>
    <numFmt numFmtId="171" formatCode="&quot;$&quot;#,##0.0\ ;\(&quot;$&quot;#,##0.0\)"/>
    <numFmt numFmtId="172" formatCode="_(&quot;$&quot;#,##0.00_);_(&quot;$&quot;\(#,##0.00\);_(@_)"/>
    <numFmt numFmtId="173" formatCode="&quot;$&quot;#,##0.00\ ;\(&quot;$&quot;\ #,##0.00\)"/>
    <numFmt numFmtId="174" formatCode="#,##0.0"/>
    <numFmt numFmtId="175" formatCode="#,##0\ ;\(#,##0\)"/>
    <numFmt numFmtId="17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FFC00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name val="Helv"/>
    </font>
    <font>
      <sz val="10"/>
      <name val="Tms Rmn"/>
    </font>
    <font>
      <sz val="8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Helv"/>
      <family val="2"/>
    </font>
    <font>
      <sz val="10"/>
      <name val="Tms Rmn"/>
      <family val="1"/>
    </font>
    <font>
      <u/>
      <sz val="11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rgb="FFFFC000"/>
      <name val="Arial"/>
      <family val="2"/>
    </font>
    <font>
      <b/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37" fontId="10" fillId="0" borderId="0"/>
    <xf numFmtId="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0" fontId="1" fillId="0" borderId="0"/>
    <xf numFmtId="37" fontId="15" fillId="0" borderId="0"/>
    <xf numFmtId="0" fontId="14" fillId="0" borderId="0"/>
    <xf numFmtId="167" fontId="14" fillId="0" borderId="0" applyFill="0" applyBorder="0" applyAlignment="0">
      <protection hidden="1"/>
    </xf>
    <xf numFmtId="4" fontId="14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horizontal="right" vertical="top"/>
    </xf>
    <xf numFmtId="37" fontId="5" fillId="0" borderId="0" xfId="0" applyNumberFormat="1" applyFont="1" applyAlignment="1">
      <alignment horizontal="right" vertical="top"/>
    </xf>
    <xf numFmtId="0" fontId="3" fillId="2" borderId="2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6" fillId="0" borderId="0" xfId="0" applyFont="1"/>
    <xf numFmtId="37" fontId="2" fillId="0" borderId="0" xfId="0" applyNumberFormat="1" applyFont="1"/>
    <xf numFmtId="165" fontId="2" fillId="0" borderId="0" xfId="1" applyNumberFormat="1" applyFont="1"/>
    <xf numFmtId="0" fontId="4" fillId="2" borderId="3" xfId="0" applyFont="1" applyFill="1" applyBorder="1"/>
    <xf numFmtId="1" fontId="4" fillId="2" borderId="4" xfId="0" applyNumberFormat="1" applyFont="1" applyFill="1" applyBorder="1"/>
    <xf numFmtId="0" fontId="4" fillId="2" borderId="0" xfId="0" applyFont="1" applyFill="1"/>
    <xf numFmtId="1" fontId="4" fillId="2" borderId="6" xfId="0" applyNumberFormat="1" applyFont="1" applyFill="1" applyBorder="1"/>
    <xf numFmtId="0" fontId="3" fillId="2" borderId="10" xfId="0" applyFont="1" applyFill="1" applyBorder="1" applyAlignment="1">
      <alignment vertical="top" wrapText="1"/>
    </xf>
    <xf numFmtId="0" fontId="4" fillId="2" borderId="1" xfId="0" applyFont="1" applyFill="1" applyBorder="1"/>
    <xf numFmtId="1" fontId="4" fillId="2" borderId="11" xfId="0" applyNumberFormat="1" applyFont="1" applyFill="1" applyBorder="1"/>
    <xf numFmtId="0" fontId="4" fillId="2" borderId="8" xfId="0" applyFont="1" applyFill="1" applyBorder="1"/>
    <xf numFmtId="1" fontId="4" fillId="2" borderId="9" xfId="0" applyNumberFormat="1" applyFont="1" applyFill="1" applyBorder="1"/>
    <xf numFmtId="0" fontId="3" fillId="0" borderId="1" xfId="0" applyFont="1" applyBorder="1" applyAlignment="1">
      <alignment vertical="center" wrapText="1"/>
    </xf>
    <xf numFmtId="166" fontId="2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166" fontId="4" fillId="0" borderId="0" xfId="0" applyNumberFormat="1" applyFont="1"/>
    <xf numFmtId="7" fontId="2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9" fontId="2" fillId="0" borderId="0" xfId="1" applyFont="1"/>
    <xf numFmtId="10" fontId="2" fillId="0" borderId="0" xfId="0" applyNumberFormat="1" applyFont="1"/>
    <xf numFmtId="3" fontId="2" fillId="0" borderId="0" xfId="0" applyNumberFormat="1" applyFont="1"/>
    <xf numFmtId="0" fontId="7" fillId="0" borderId="0" xfId="0" applyFont="1" applyAlignment="1">
      <alignment vertical="top" wrapText="1"/>
    </xf>
    <xf numFmtId="167" fontId="2" fillId="0" borderId="0" xfId="0" applyNumberFormat="1" applyFont="1"/>
    <xf numFmtId="17" fontId="5" fillId="0" borderId="1" xfId="0" applyNumberFormat="1" applyFont="1" applyBorder="1" applyAlignment="1">
      <alignment horizontal="center" vertical="center" wrapText="1"/>
    </xf>
    <xf numFmtId="5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16" fillId="0" borderId="0" xfId="2" applyFont="1" applyFill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3" applyFont="1" applyProtection="1">
      <protection locked="0"/>
    </xf>
    <xf numFmtId="37" fontId="2" fillId="0" borderId="0" xfId="4" applyFont="1" applyAlignment="1" applyProtection="1">
      <alignment horizontal="right" wrapText="1"/>
      <protection locked="0"/>
    </xf>
    <xf numFmtId="37" fontId="2" fillId="0" borderId="0" xfId="4" applyFont="1" applyAlignment="1" applyProtection="1">
      <alignment horizontal="right"/>
      <protection locked="0"/>
    </xf>
    <xf numFmtId="0" fontId="2" fillId="0" borderId="0" xfId="3" applyFont="1" applyAlignment="1" applyProtection="1">
      <alignment horizontal="left"/>
      <protection locked="0"/>
    </xf>
    <xf numFmtId="169" fontId="2" fillId="0" borderId="0" xfId="4" applyNumberFormat="1" applyFont="1" applyAlignment="1" applyProtection="1">
      <alignment horizontal="right"/>
      <protection locked="0"/>
    </xf>
    <xf numFmtId="6" fontId="17" fillId="0" borderId="0" xfId="0" applyNumberFormat="1" applyFont="1" applyAlignment="1">
      <alignment horizontal="right"/>
    </xf>
    <xf numFmtId="0" fontId="2" fillId="0" borderId="1" xfId="3" applyFont="1" applyBorder="1" applyAlignment="1" applyProtection="1">
      <alignment horizontal="left" wrapText="1"/>
      <protection locked="0"/>
    </xf>
    <xf numFmtId="37" fontId="2" fillId="0" borderId="1" xfId="3" applyNumberFormat="1" applyFont="1" applyBorder="1" applyAlignment="1" applyProtection="1">
      <alignment horizontal="right"/>
      <protection locked="0"/>
    </xf>
    <xf numFmtId="3" fontId="17" fillId="0" borderId="1" xfId="0" applyNumberFormat="1" applyFont="1" applyBorder="1" applyAlignment="1">
      <alignment horizontal="right"/>
    </xf>
    <xf numFmtId="0" fontId="2" fillId="0" borderId="0" xfId="3" applyFont="1" applyAlignment="1" applyProtection="1">
      <alignment horizontal="left" wrapText="1"/>
      <protection locked="0"/>
    </xf>
    <xf numFmtId="37" fontId="2" fillId="0" borderId="0" xfId="3" applyNumberFormat="1" applyFont="1" applyAlignment="1" applyProtection="1">
      <alignment horizontal="right"/>
      <protection locked="0"/>
    </xf>
    <xf numFmtId="3" fontId="17" fillId="0" borderId="0" xfId="0" applyNumberFormat="1" applyFont="1" applyAlignment="1">
      <alignment horizontal="right"/>
    </xf>
    <xf numFmtId="0" fontId="2" fillId="0" borderId="0" xfId="3" applyFont="1" applyAlignment="1" applyProtection="1">
      <alignment horizontal="left" vertical="top" wrapText="1"/>
      <protection locked="0"/>
    </xf>
    <xf numFmtId="0" fontId="2" fillId="0" borderId="1" xfId="3" applyFont="1" applyBorder="1" applyAlignment="1" applyProtection="1">
      <alignment horizontal="left" vertical="center"/>
      <protection locked="0"/>
    </xf>
    <xf numFmtId="37" fontId="2" fillId="0" borderId="1" xfId="4" applyFont="1" applyBorder="1" applyAlignment="1" applyProtection="1">
      <alignment horizontal="right"/>
      <protection locked="0"/>
    </xf>
    <xf numFmtId="0" fontId="2" fillId="0" borderId="0" xfId="3" applyFont="1" applyAlignment="1" applyProtection="1">
      <alignment wrapText="1"/>
      <protection locked="0"/>
    </xf>
    <xf numFmtId="0" fontId="2" fillId="0" borderId="1" xfId="3" applyFont="1" applyBorder="1" applyProtection="1">
      <protection locked="0"/>
    </xf>
    <xf numFmtId="169" fontId="2" fillId="0" borderId="8" xfId="3" applyNumberFormat="1" applyFont="1" applyBorder="1" applyAlignment="1" applyProtection="1">
      <alignment horizontal="right"/>
      <protection locked="0"/>
    </xf>
    <xf numFmtId="6" fontId="17" fillId="0" borderId="8" xfId="0" applyNumberFormat="1" applyFont="1" applyBorder="1" applyAlignment="1">
      <alignment horizontal="right"/>
    </xf>
    <xf numFmtId="41" fontId="2" fillId="0" borderId="0" xfId="4" applyNumberFormat="1" applyFont="1" applyAlignment="1" applyProtection="1">
      <alignment horizontal="right"/>
      <protection locked="0"/>
    </xf>
    <xf numFmtId="0" fontId="2" fillId="0" borderId="1" xfId="3" applyFont="1" applyBorder="1" applyAlignment="1" applyProtection="1">
      <alignment horizontal="left"/>
      <protection locked="0"/>
    </xf>
    <xf numFmtId="0" fontId="17" fillId="0" borderId="0" xfId="0" applyFont="1" applyAlignment="1">
      <alignment horizontal="right"/>
    </xf>
    <xf numFmtId="0" fontId="2" fillId="0" borderId="13" xfId="3" applyFont="1" applyBorder="1" applyAlignment="1" applyProtection="1">
      <alignment horizontal="left"/>
      <protection locked="0"/>
    </xf>
    <xf numFmtId="37" fontId="2" fillId="0" borderId="13" xfId="3" applyNumberFormat="1" applyFont="1" applyBorder="1" applyAlignment="1" applyProtection="1">
      <alignment horizontal="right"/>
      <protection locked="0"/>
    </xf>
    <xf numFmtId="3" fontId="17" fillId="0" borderId="13" xfId="0" applyNumberFormat="1" applyFont="1" applyBorder="1" applyAlignment="1">
      <alignment horizontal="right"/>
    </xf>
    <xf numFmtId="41" fontId="2" fillId="0" borderId="0" xfId="3" applyNumberFormat="1" applyFont="1" applyAlignment="1" applyProtection="1">
      <alignment horizontal="right"/>
      <protection locked="0"/>
    </xf>
    <xf numFmtId="3" fontId="2" fillId="0" borderId="0" xfId="5" applyNumberFormat="1" applyFont="1" applyFill="1" applyBorder="1" applyAlignment="1" applyProtection="1">
      <alignment horizontal="left" wrapText="1"/>
      <protection locked="0"/>
    </xf>
    <xf numFmtId="3" fontId="2" fillId="0" borderId="1" xfId="5" applyNumberFormat="1" applyFont="1" applyFill="1" applyBorder="1" applyAlignment="1" applyProtection="1">
      <alignment horizontal="left"/>
      <protection locked="0"/>
    </xf>
    <xf numFmtId="0" fontId="2" fillId="0" borderId="0" xfId="3" applyFont="1" applyAlignment="1" applyProtection="1">
      <alignment horizontal="right"/>
      <protection locked="0"/>
    </xf>
    <xf numFmtId="0" fontId="2" fillId="0" borderId="0" xfId="3" applyFont="1" applyAlignment="1" applyProtection="1">
      <alignment horizontal="left" indent="1"/>
      <protection locked="0"/>
    </xf>
    <xf numFmtId="0" fontId="2" fillId="0" borderId="0" xfId="0" applyFont="1" applyAlignment="1">
      <alignment horizontal="right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11" applyFont="1" applyProtection="1">
      <protection locked="0"/>
    </xf>
    <xf numFmtId="37" fontId="2" fillId="3" borderId="0" xfId="14" applyFont="1" applyFill="1"/>
    <xf numFmtId="0" fontId="2" fillId="3" borderId="0" xfId="15" applyFont="1" applyFill="1"/>
    <xf numFmtId="5" fontId="2" fillId="3" borderId="0" xfId="16" applyNumberFormat="1" applyFont="1" applyFill="1" applyBorder="1">
      <protection hidden="1"/>
    </xf>
    <xf numFmtId="0" fontId="4" fillId="3" borderId="1" xfId="0" applyFont="1" applyFill="1" applyBorder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169" fontId="2" fillId="0" borderId="0" xfId="0" applyNumberFormat="1" applyFont="1" applyAlignment="1" applyProtection="1">
      <alignment horizontal="right"/>
      <protection locked="0"/>
    </xf>
    <xf numFmtId="37" fontId="2" fillId="0" borderId="0" xfId="0" applyNumberFormat="1" applyFont="1" applyProtection="1">
      <protection locked="0"/>
    </xf>
    <xf numFmtId="37" fontId="2" fillId="0" borderId="13" xfId="0" applyNumberFormat="1" applyFont="1" applyBorder="1"/>
    <xf numFmtId="169" fontId="2" fillId="0" borderId="12" xfId="0" applyNumberFormat="1" applyFont="1" applyBorder="1"/>
    <xf numFmtId="37" fontId="2" fillId="0" borderId="1" xfId="0" applyNumberFormat="1" applyFont="1" applyBorder="1"/>
    <xf numFmtId="37" fontId="2" fillId="0" borderId="1" xfId="6" applyNumberFormat="1" applyFont="1" applyFill="1" applyBorder="1" applyProtection="1"/>
    <xf numFmtId="37" fontId="2" fillId="0" borderId="0" xfId="6" applyNumberFormat="1" applyFont="1" applyFill="1" applyBorder="1" applyProtection="1"/>
    <xf numFmtId="37" fontId="2" fillId="0" borderId="12" xfId="0" applyNumberFormat="1" applyFont="1" applyBorder="1"/>
    <xf numFmtId="169" fontId="2" fillId="0" borderId="14" xfId="0" applyNumberFormat="1" applyFont="1" applyBorder="1"/>
    <xf numFmtId="172" fontId="2" fillId="0" borderId="0" xfId="15" applyNumberFormat="1" applyFont="1"/>
    <xf numFmtId="173" fontId="2" fillId="3" borderId="0" xfId="15" applyNumberFormat="1" applyFont="1" applyFill="1"/>
    <xf numFmtId="5" fontId="2" fillId="3" borderId="0" xfId="15" applyNumberFormat="1" applyFont="1" applyFill="1"/>
    <xf numFmtId="174" fontId="18" fillId="3" borderId="0" xfId="17" applyNumberFormat="1" applyFont="1" applyFill="1" applyBorder="1"/>
    <xf numFmtId="175" fontId="2" fillId="3" borderId="0" xfId="15" applyNumberFormat="1" applyFont="1" applyFill="1"/>
    <xf numFmtId="0" fontId="2" fillId="3" borderId="0" xfId="0" applyFont="1" applyFill="1" applyAlignment="1">
      <alignment horizontal="left"/>
    </xf>
    <xf numFmtId="170" fontId="18" fillId="3" borderId="0" xfId="15" applyNumberFormat="1" applyFont="1" applyFill="1"/>
    <xf numFmtId="176" fontId="18" fillId="3" borderId="0" xfId="15" applyNumberFormat="1" applyFont="1" applyFill="1"/>
    <xf numFmtId="0" fontId="4" fillId="0" borderId="0" xfId="11" applyFont="1" applyProtection="1">
      <protection locked="0"/>
    </xf>
    <xf numFmtId="0" fontId="2" fillId="0" borderId="0" xfId="11" applyFont="1" applyProtection="1">
      <protection locked="0"/>
    </xf>
    <xf numFmtId="0" fontId="2" fillId="0" borderId="0" xfId="11" applyFon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1" fontId="2" fillId="0" borderId="1" xfId="0" applyNumberFormat="1" applyFont="1" applyBorder="1" applyAlignment="1" applyProtection="1">
      <alignment horizontal="right"/>
      <protection locked="0"/>
    </xf>
    <xf numFmtId="1" fontId="2" fillId="0" borderId="0" xfId="0" applyNumberFormat="1" applyFont="1" applyAlignment="1" applyProtection="1">
      <alignment horizontal="right"/>
      <protection locked="0"/>
    </xf>
    <xf numFmtId="0" fontId="2" fillId="0" borderId="0" xfId="12" applyFont="1" applyAlignment="1" applyProtection="1">
      <alignment horizontal="left"/>
      <protection locked="0" hidden="1"/>
    </xf>
    <xf numFmtId="169" fontId="2" fillId="0" borderId="0" xfId="11" applyNumberFormat="1" applyFont="1" applyAlignment="1" applyProtection="1">
      <alignment horizontal="right"/>
      <protection locked="0"/>
    </xf>
    <xf numFmtId="0" fontId="2" fillId="0" borderId="0" xfId="12" applyFont="1" applyAlignment="1" applyProtection="1">
      <alignment horizontal="left" wrapText="1"/>
      <protection locked="0" hidden="1"/>
    </xf>
    <xf numFmtId="37" fontId="2" fillId="0" borderId="0" xfId="13" applyNumberFormat="1" applyFont="1" applyAlignment="1" applyProtection="1">
      <alignment horizontal="right"/>
      <protection locked="0"/>
    </xf>
    <xf numFmtId="42" fontId="2" fillId="0" borderId="0" xfId="11" applyNumberFormat="1" applyFont="1" applyAlignment="1" applyProtection="1">
      <alignment horizontal="right"/>
      <protection locked="0"/>
    </xf>
    <xf numFmtId="41" fontId="2" fillId="0" borderId="0" xfId="13" applyNumberFormat="1" applyFont="1" applyAlignment="1" applyProtection="1">
      <alignment horizontal="right"/>
      <protection locked="0"/>
    </xf>
    <xf numFmtId="0" fontId="2" fillId="0" borderId="1" xfId="12" applyFont="1" applyBorder="1" applyAlignment="1" applyProtection="1">
      <alignment horizontal="left"/>
      <protection locked="0" hidden="1"/>
    </xf>
    <xf numFmtId="37" fontId="2" fillId="0" borderId="1" xfId="13" applyNumberFormat="1" applyFont="1" applyBorder="1" applyAlignment="1" applyProtection="1">
      <alignment horizontal="right"/>
      <protection locked="0"/>
    </xf>
    <xf numFmtId="171" fontId="2" fillId="0" borderId="13" xfId="11" applyNumberFormat="1" applyFont="1" applyBorder="1" applyAlignment="1" applyProtection="1">
      <alignment horizontal="left" wrapText="1"/>
      <protection locked="0"/>
    </xf>
    <xf numFmtId="37" fontId="2" fillId="0" borderId="13" xfId="13" applyNumberFormat="1" applyFont="1" applyBorder="1" applyAlignment="1" applyProtection="1">
      <alignment horizontal="right"/>
      <protection locked="0"/>
    </xf>
    <xf numFmtId="37" fontId="2" fillId="0" borderId="0" xfId="11" applyNumberFormat="1" applyFont="1" applyAlignment="1" applyProtection="1">
      <alignment wrapText="1"/>
      <protection locked="0"/>
    </xf>
    <xf numFmtId="37" fontId="2" fillId="0" borderId="0" xfId="11" applyNumberFormat="1" applyFont="1" applyProtection="1">
      <protection locked="0"/>
    </xf>
    <xf numFmtId="0" fontId="2" fillId="0" borderId="1" xfId="11" applyFont="1" applyBorder="1" applyAlignment="1" applyProtection="1">
      <alignment wrapText="1"/>
      <protection locked="0"/>
    </xf>
    <xf numFmtId="41" fontId="2" fillId="0" borderId="0" xfId="11" applyNumberFormat="1" applyFont="1" applyAlignment="1" applyProtection="1">
      <alignment horizontal="right"/>
      <protection locked="0"/>
    </xf>
    <xf numFmtId="0" fontId="2" fillId="0" borderId="0" xfId="11" applyFont="1" applyAlignment="1" applyProtection="1">
      <alignment wrapText="1"/>
      <protection locked="0"/>
    </xf>
    <xf numFmtId="0" fontId="2" fillId="0" borderId="13" xfId="11" applyFont="1" applyBorder="1" applyAlignment="1" applyProtection="1">
      <alignment horizontal="left" wrapText="1"/>
      <protection locked="0"/>
    </xf>
    <xf numFmtId="0" fontId="2" fillId="0" borderId="13" xfId="11" applyFont="1" applyBorder="1" applyAlignment="1" applyProtection="1">
      <alignment wrapText="1"/>
      <protection locked="0"/>
    </xf>
    <xf numFmtId="169" fontId="2" fillId="0" borderId="8" xfId="11" applyNumberFormat="1" applyFont="1" applyBorder="1" applyAlignment="1" applyProtection="1">
      <alignment horizontal="right"/>
      <protection locked="0"/>
    </xf>
    <xf numFmtId="0" fontId="2" fillId="3" borderId="0" xfId="7" applyFont="1" applyFill="1"/>
    <xf numFmtId="0" fontId="4" fillId="3" borderId="0" xfId="8" applyFont="1" applyFill="1"/>
    <xf numFmtId="0" fontId="2" fillId="3" borderId="0" xfId="9" applyFont="1" applyFill="1"/>
    <xf numFmtId="170" fontId="2" fillId="3" borderId="1" xfId="10" quotePrefix="1" applyNumberFormat="1" applyFont="1" applyFill="1" applyBorder="1"/>
    <xf numFmtId="0" fontId="2" fillId="3" borderId="1" xfId="8" applyFont="1" applyFill="1" applyBorder="1"/>
    <xf numFmtId="0" fontId="4" fillId="3" borderId="1" xfId="10" applyFont="1" applyFill="1" applyBorder="1" applyAlignment="1">
      <alignment horizontal="right" wrapText="1"/>
    </xf>
    <xf numFmtId="0" fontId="4" fillId="3" borderId="0" xfId="8" applyFont="1" applyFill="1" applyAlignment="1">
      <alignment horizontal="right" wrapText="1"/>
    </xf>
    <xf numFmtId="0" fontId="2" fillId="3" borderId="0" xfId="0" applyFont="1" applyFill="1" applyProtection="1">
      <protection locked="0"/>
    </xf>
    <xf numFmtId="169" fontId="2" fillId="0" borderId="0" xfId="8" applyNumberFormat="1" applyFont="1"/>
    <xf numFmtId="169" fontId="2" fillId="3" borderId="0" xfId="8" applyNumberFormat="1" applyFont="1" applyFill="1" applyAlignment="1">
      <alignment horizontal="right"/>
    </xf>
    <xf numFmtId="37" fontId="2" fillId="0" borderId="0" xfId="8" applyNumberFormat="1" applyFont="1"/>
    <xf numFmtId="38" fontId="2" fillId="3" borderId="0" xfId="8" applyNumberFormat="1" applyFont="1" applyFill="1" applyAlignment="1">
      <alignment horizontal="right"/>
    </xf>
    <xf numFmtId="37" fontId="2" fillId="0" borderId="0" xfId="8" applyNumberFormat="1" applyFont="1" applyAlignment="1">
      <alignment horizontal="right"/>
    </xf>
    <xf numFmtId="0" fontId="2" fillId="3" borderId="0" xfId="8" applyFont="1" applyFill="1" applyAlignment="1">
      <alignment horizontal="left"/>
    </xf>
    <xf numFmtId="169" fontId="2" fillId="0" borderId="14" xfId="7" applyNumberFormat="1" applyFont="1" applyBorder="1" applyProtection="1">
      <protection hidden="1"/>
    </xf>
    <xf numFmtId="169" fontId="2" fillId="3" borderId="0" xfId="8" applyNumberFormat="1" applyFont="1" applyFill="1"/>
    <xf numFmtId="0" fontId="18" fillId="3" borderId="0" xfId="8" applyFont="1" applyFill="1"/>
    <xf numFmtId="0" fontId="2" fillId="3" borderId="0" xfId="8" applyFont="1" applyFill="1"/>
    <xf numFmtId="0" fontId="4" fillId="3" borderId="0" xfId="0" applyFont="1" applyFill="1" applyProtection="1">
      <protection locked="0"/>
    </xf>
    <xf numFmtId="0" fontId="6" fillId="3" borderId="0" xfId="7" applyFont="1" applyFill="1"/>
    <xf numFmtId="0" fontId="6" fillId="3" borderId="0" xfId="8" applyFont="1" applyFill="1"/>
    <xf numFmtId="0" fontId="19" fillId="0" borderId="0" xfId="0" applyFont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168" fontId="4" fillId="0" borderId="1" xfId="0" quotePrefix="1" applyNumberFormat="1" applyFont="1" applyBorder="1" applyAlignment="1" applyProtection="1">
      <alignment horizontal="right" wrapText="1"/>
      <protection locked="0"/>
    </xf>
    <xf numFmtId="0" fontId="19" fillId="0" borderId="0" xfId="0" applyFont="1"/>
    <xf numFmtId="37" fontId="2" fillId="0" borderId="0" xfId="0" applyNumberFormat="1" applyFont="1" applyAlignment="1">
      <alignment horizontal="right"/>
    </xf>
    <xf numFmtId="9" fontId="2" fillId="0" borderId="0" xfId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4" fillId="0" borderId="13" xfId="0" applyFont="1" applyBorder="1"/>
    <xf numFmtId="0" fontId="20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37" fontId="4" fillId="0" borderId="0" xfId="0" applyNumberFormat="1" applyFont="1"/>
    <xf numFmtId="0" fontId="4" fillId="0" borderId="12" xfId="0" applyFont="1" applyBorder="1"/>
    <xf numFmtId="37" fontId="4" fillId="0" borderId="12" xfId="0" applyNumberFormat="1" applyFont="1" applyBorder="1"/>
  </cellXfs>
  <cellStyles count="18">
    <cellStyle name="Comma" xfId="6" builtinId="3"/>
    <cellStyle name="Comma 3" xfId="5" xr:uid="{9F118B95-366D-40DE-A71D-6D3098EB9FB2}"/>
    <cellStyle name="Comma 5 2" xfId="17" xr:uid="{6F62E004-8448-4DFC-8602-9EA53C493155}"/>
    <cellStyle name="Currency [0]_Quarterly History 2" xfId="16" xr:uid="{289DD92B-D560-47F2-A018-DB87AA7C86B6}"/>
    <cellStyle name="Hyperlink" xfId="2" builtinId="8"/>
    <cellStyle name="nodollars 2" xfId="13" xr:uid="{FDE20B54-5B6A-4BBE-95CF-DBD919272F6F}"/>
    <cellStyle name="Normal" xfId="0" builtinId="0"/>
    <cellStyle name="Normal 5" xfId="4" xr:uid="{712334E6-1F6A-48D2-9ABC-204A63EA1AEE}"/>
    <cellStyle name="Normal 8 3" xfId="14" xr:uid="{D29BB40C-1A9B-46C6-A53A-0591A880151E}"/>
    <cellStyle name="Normal_BalanceSheets" xfId="3" xr:uid="{AC087882-58AE-46AF-8EAF-B2DF177252C8}"/>
    <cellStyle name="Normal_BalanceSheets 2" xfId="9" xr:uid="{498FB541-086C-46F4-A5F6-BEE54E452667}"/>
    <cellStyle name="Normal_Comparable Qtrs" xfId="12" xr:uid="{599405D1-1B8C-4EC4-88FE-FE2FEE083E46}"/>
    <cellStyle name="Normal_Income Statements" xfId="10" xr:uid="{D126646F-6BD3-4A1C-9D42-F5AB72812D63}"/>
    <cellStyle name="Normal_Income Statements 2" xfId="11" xr:uid="{4DF8DABE-848D-426A-9E2E-A83956A58D17}"/>
    <cellStyle name="Normal_Q94-1CPG" xfId="7" xr:uid="{DC0B13BC-13AB-4358-94AE-158D27DC9F93}"/>
    <cellStyle name="Normal_Quarterly History" xfId="15" xr:uid="{9F7EA80A-92CE-428C-9F00-2EEE67BE8E6D}"/>
    <cellStyle name="Normal_RevOIChanBusDiv - 7-16-06" xfId="8" xr:uid="{A6991531-2D5E-4C71-90E0-FD96719B3AC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dino\Downloads\cdn-dynmedia-1.microsoft.com.xlsx" TargetMode="External"/><Relationship Id="rId1" Type="http://schemas.openxmlformats.org/officeDocument/2006/relationships/externalLinkPath" Target="file:///C:\Users\vdino\Downloads\cdn-dynmedia-1.microsoft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lash"/>
      <sheetName val="Income Statements"/>
      <sheetName val="Comprehensive Income"/>
      <sheetName val="Balance Sheets"/>
      <sheetName val="Cash Flows"/>
      <sheetName val="Segment Revenue &amp; OI"/>
      <sheetName val="Quarterly Income Statements"/>
      <sheetName val="Segment History"/>
      <sheetName val="Products &amp; Services History"/>
      <sheetName val="Return of Cash to Shareholders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B6">
            <v>22074</v>
          </cell>
          <cell r="C6">
            <v>22602</v>
          </cell>
          <cell r="D6">
            <v>23926</v>
          </cell>
          <cell r="E6">
            <v>25549</v>
          </cell>
          <cell r="F6">
            <v>94151</v>
          </cell>
          <cell r="H6">
            <v>25226</v>
          </cell>
          <cell r="I6">
            <v>25854</v>
          </cell>
          <cell r="J6">
            <v>27113</v>
          </cell>
          <cell r="K6">
            <v>28627</v>
          </cell>
          <cell r="L6">
            <v>106820</v>
          </cell>
        </row>
        <row r="7">
          <cell r="B7">
            <v>16885</v>
          </cell>
          <cell r="C7">
            <v>17926</v>
          </cell>
          <cell r="D7">
            <v>18244</v>
          </cell>
          <cell r="E7">
            <v>19889</v>
          </cell>
          <cell r="F7">
            <v>72944</v>
          </cell>
          <cell r="H7">
            <v>20013</v>
          </cell>
          <cell r="I7">
            <v>21525</v>
          </cell>
          <cell r="J7">
            <v>22141</v>
          </cell>
          <cell r="K7">
            <v>23785</v>
          </cell>
          <cell r="L7">
            <v>87464</v>
          </cell>
        </row>
        <row r="8">
          <cell r="B8">
            <v>11163</v>
          </cell>
          <cell r="C8">
            <v>12219</v>
          </cell>
          <cell r="D8">
            <v>10687</v>
          </cell>
          <cell r="E8">
            <v>10751</v>
          </cell>
          <cell r="F8">
            <v>44820</v>
          </cell>
          <cell r="H8">
            <v>11278</v>
          </cell>
          <cell r="I8">
            <v>14641</v>
          </cell>
          <cell r="J8">
            <v>12604</v>
          </cell>
          <cell r="K8">
            <v>12315</v>
          </cell>
          <cell r="L8">
            <v>50838</v>
          </cell>
        </row>
        <row r="13">
          <cell r="B13">
            <v>11940</v>
          </cell>
          <cell r="C13">
            <v>11483</v>
          </cell>
          <cell r="D13">
            <v>12776</v>
          </cell>
          <cell r="E13">
            <v>13875</v>
          </cell>
          <cell r="F13">
            <v>50074</v>
          </cell>
          <cell r="H13">
            <v>14297</v>
          </cell>
          <cell r="I13">
            <v>14515</v>
          </cell>
          <cell r="J13">
            <v>15143</v>
          </cell>
          <cell r="K13">
            <v>15706</v>
          </cell>
          <cell r="L13">
            <v>59661</v>
          </cell>
        </row>
        <row r="14">
          <cell r="B14">
            <v>6750</v>
          </cell>
          <cell r="C14">
            <v>6727</v>
          </cell>
          <cell r="D14">
            <v>7017</v>
          </cell>
          <cell r="E14">
            <v>7917</v>
          </cell>
          <cell r="F14">
            <v>28411</v>
          </cell>
          <cell r="H14">
            <v>8908</v>
          </cell>
          <cell r="I14">
            <v>9555</v>
          </cell>
          <cell r="J14">
            <v>9515</v>
          </cell>
          <cell r="K14">
            <v>9835</v>
          </cell>
          <cell r="L14">
            <v>37813</v>
          </cell>
        </row>
        <row r="15">
          <cell r="B15">
            <v>2828</v>
          </cell>
          <cell r="C15">
            <v>2189</v>
          </cell>
          <cell r="D15">
            <v>2559</v>
          </cell>
          <cell r="E15">
            <v>2462</v>
          </cell>
          <cell r="F15">
            <v>10038</v>
          </cell>
          <cell r="H15">
            <v>3690</v>
          </cell>
          <cell r="I15">
            <v>2962</v>
          </cell>
          <cell r="J15">
            <v>2923</v>
          </cell>
          <cell r="K15">
            <v>2384</v>
          </cell>
          <cell r="L15">
            <v>11959</v>
          </cell>
        </row>
      </sheetData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AF63-9526-48A6-9BF2-489C2F439996}">
  <dimension ref="B2:I49"/>
  <sheetViews>
    <sheetView showGridLines="0" tabSelected="1" zoomScaleNormal="100" workbookViewId="0"/>
  </sheetViews>
  <sheetFormatPr defaultColWidth="9" defaultRowHeight="13.8" x14ac:dyDescent="0.45"/>
  <cols>
    <col min="1" max="1" width="3.734375" style="1" customWidth="1"/>
    <col min="2" max="2" width="56" style="1" customWidth="1"/>
    <col min="3" max="3" width="0.41796875" style="74" hidden="1" customWidth="1"/>
    <col min="4" max="6" width="12.578125" style="74" customWidth="1"/>
    <col min="7" max="7" width="13" style="74" customWidth="1"/>
    <col min="8" max="8" width="9" style="1"/>
    <col min="9" max="9" width="15" style="1" customWidth="1"/>
    <col min="10" max="16384" width="9" style="1"/>
  </cols>
  <sheetData>
    <row r="2" spans="2:9" ht="14.1" x14ac:dyDescent="0.5">
      <c r="B2" s="75" t="s">
        <v>69</v>
      </c>
      <c r="C2" s="39"/>
      <c r="D2" s="39"/>
      <c r="E2" s="39"/>
      <c r="F2" s="39"/>
      <c r="G2" s="39"/>
      <c r="H2" s="40"/>
      <c r="I2" s="41"/>
    </row>
    <row r="3" spans="2:9" ht="14.1" x14ac:dyDescent="0.5">
      <c r="B3" s="76" t="s">
        <v>70</v>
      </c>
      <c r="C3" s="42"/>
      <c r="D3" s="42"/>
      <c r="E3" s="42"/>
      <c r="F3" s="42"/>
      <c r="G3" s="42"/>
      <c r="H3" s="40"/>
      <c r="I3" s="40"/>
    </row>
    <row r="4" spans="2:9" x14ac:dyDescent="0.45">
      <c r="B4" s="42" t="s">
        <v>71</v>
      </c>
      <c r="C4" s="42"/>
      <c r="D4" s="42"/>
      <c r="E4" s="42"/>
      <c r="F4" s="42"/>
      <c r="G4" s="42"/>
      <c r="H4" s="40"/>
      <c r="I4" s="40"/>
    </row>
    <row r="5" spans="2:9" x14ac:dyDescent="0.45">
      <c r="B5" s="43"/>
      <c r="C5" s="43"/>
      <c r="D5" s="43"/>
      <c r="E5" s="43"/>
      <c r="F5" s="43"/>
      <c r="G5" s="43"/>
      <c r="H5" s="40"/>
      <c r="I5" s="40"/>
    </row>
    <row r="6" spans="2:9" ht="14.1" x14ac:dyDescent="0.5">
      <c r="B6" s="147"/>
      <c r="C6" s="148"/>
      <c r="D6" s="148" t="str">
        <f>'MSFT - IS'!E6</f>
        <v>FY22</v>
      </c>
      <c r="E6" s="148" t="str">
        <f>'MSFT - IS'!F6</f>
        <v>FY23</v>
      </c>
      <c r="F6" s="148" t="str">
        <f>'MSFT - IS'!G6</f>
        <v>FY24</v>
      </c>
      <c r="G6" s="148" t="str">
        <f>'MSFT - IS'!H6</f>
        <v>FY25</v>
      </c>
      <c r="H6" s="40"/>
      <c r="I6" s="40"/>
    </row>
    <row r="7" spans="2:9" x14ac:dyDescent="0.45">
      <c r="B7" s="44" t="s">
        <v>76</v>
      </c>
      <c r="C7" s="45"/>
      <c r="D7" s="45"/>
      <c r="E7" s="45"/>
      <c r="F7" s="46"/>
      <c r="G7" s="45"/>
      <c r="H7" s="40"/>
      <c r="I7" s="40"/>
    </row>
    <row r="8" spans="2:9" x14ac:dyDescent="0.45">
      <c r="B8" s="44" t="s">
        <v>7</v>
      </c>
      <c r="C8" s="46"/>
      <c r="D8" s="46"/>
      <c r="E8" s="46"/>
      <c r="F8" s="46"/>
      <c r="G8" s="46"/>
      <c r="H8" s="40"/>
      <c r="I8" s="40"/>
    </row>
    <row r="9" spans="2:9" x14ac:dyDescent="0.45">
      <c r="B9" s="47" t="s">
        <v>77</v>
      </c>
      <c r="C9" s="48"/>
      <c r="D9" s="49">
        <v>13931</v>
      </c>
      <c r="E9" s="49">
        <v>34704</v>
      </c>
      <c r="F9" s="48">
        <v>18315</v>
      </c>
      <c r="G9" s="48">
        <v>30242</v>
      </c>
      <c r="H9" s="40"/>
      <c r="I9" s="40"/>
    </row>
    <row r="10" spans="2:9" x14ac:dyDescent="0.45">
      <c r="B10" s="50" t="s">
        <v>78</v>
      </c>
      <c r="C10" s="51"/>
      <c r="D10" s="52">
        <v>90826</v>
      </c>
      <c r="E10" s="52">
        <v>76558</v>
      </c>
      <c r="F10" s="51">
        <v>57228</v>
      </c>
      <c r="G10" s="51">
        <v>64323</v>
      </c>
      <c r="H10" s="40"/>
      <c r="I10" s="40"/>
    </row>
    <row r="11" spans="2:9" x14ac:dyDescent="0.45">
      <c r="B11" s="53" t="s">
        <v>79</v>
      </c>
      <c r="C11" s="54"/>
      <c r="D11" s="55">
        <v>104757</v>
      </c>
      <c r="E11" s="55">
        <v>111262</v>
      </c>
      <c r="F11" s="54">
        <v>75543</v>
      </c>
      <c r="G11" s="54">
        <v>94565</v>
      </c>
      <c r="H11" s="40"/>
      <c r="I11" s="40"/>
    </row>
    <row r="12" spans="2:9" ht="15.6" customHeight="1" x14ac:dyDescent="0.45">
      <c r="B12" s="56" t="s">
        <v>80</v>
      </c>
      <c r="C12" s="54"/>
      <c r="D12" s="55">
        <v>44261</v>
      </c>
      <c r="E12" s="55">
        <v>48688</v>
      </c>
      <c r="F12" s="54">
        <v>56924</v>
      </c>
      <c r="G12" s="54">
        <v>69905</v>
      </c>
      <c r="H12" s="40"/>
      <c r="I12" s="40"/>
    </row>
    <row r="13" spans="2:9" x14ac:dyDescent="0.45">
      <c r="B13" s="47" t="s">
        <v>81</v>
      </c>
      <c r="C13" s="46"/>
      <c r="D13" s="55">
        <v>3742</v>
      </c>
      <c r="E13" s="55">
        <v>2500</v>
      </c>
      <c r="F13" s="46">
        <v>1246</v>
      </c>
      <c r="G13" s="46">
        <v>938</v>
      </c>
      <c r="H13" s="40"/>
      <c r="I13" s="40"/>
    </row>
    <row r="14" spans="2:9" x14ac:dyDescent="0.45">
      <c r="B14" s="57" t="s">
        <v>82</v>
      </c>
      <c r="C14" s="58"/>
      <c r="D14" s="52">
        <v>16924</v>
      </c>
      <c r="E14" s="52">
        <v>21807</v>
      </c>
      <c r="F14" s="58">
        <v>26021</v>
      </c>
      <c r="G14" s="58">
        <v>25723</v>
      </c>
      <c r="H14" s="40"/>
      <c r="I14" s="40"/>
    </row>
    <row r="15" spans="2:9" x14ac:dyDescent="0.45">
      <c r="B15" s="47" t="s">
        <v>83</v>
      </c>
      <c r="C15" s="54"/>
      <c r="D15" s="55">
        <v>169684</v>
      </c>
      <c r="E15" s="55">
        <v>184257</v>
      </c>
      <c r="F15" s="54">
        <v>159734</v>
      </c>
      <c r="G15" s="54">
        <v>191131</v>
      </c>
      <c r="H15" s="40"/>
      <c r="I15" s="40"/>
    </row>
    <row r="16" spans="2:9" ht="27.6" x14ac:dyDescent="0.45">
      <c r="B16" s="59" t="s">
        <v>84</v>
      </c>
      <c r="C16" s="46"/>
      <c r="D16" s="55">
        <v>74398</v>
      </c>
      <c r="E16" s="55">
        <v>95641</v>
      </c>
      <c r="F16" s="46">
        <v>135591</v>
      </c>
      <c r="G16" s="46">
        <v>204966</v>
      </c>
      <c r="H16" s="40"/>
      <c r="I16" s="40"/>
    </row>
    <row r="17" spans="2:9" x14ac:dyDescent="0.45">
      <c r="B17" s="59" t="s">
        <v>85</v>
      </c>
      <c r="C17" s="46"/>
      <c r="D17" s="55">
        <v>13148</v>
      </c>
      <c r="E17" s="55">
        <v>14346</v>
      </c>
      <c r="F17" s="46">
        <v>18961</v>
      </c>
      <c r="G17" s="46">
        <v>24823</v>
      </c>
      <c r="H17" s="40"/>
      <c r="I17" s="40"/>
    </row>
    <row r="18" spans="2:9" x14ac:dyDescent="0.45">
      <c r="B18" s="44" t="s">
        <v>86</v>
      </c>
      <c r="C18" s="46"/>
      <c r="D18" s="55">
        <v>6891</v>
      </c>
      <c r="E18" s="55">
        <v>9879</v>
      </c>
      <c r="F18" s="46">
        <v>14600</v>
      </c>
      <c r="G18" s="46">
        <v>15405</v>
      </c>
      <c r="H18" s="40"/>
      <c r="I18" s="40"/>
    </row>
    <row r="19" spans="2:9" x14ac:dyDescent="0.45">
      <c r="B19" s="44" t="s">
        <v>3</v>
      </c>
      <c r="C19" s="46"/>
      <c r="D19" s="55">
        <v>67524</v>
      </c>
      <c r="E19" s="55">
        <v>67886</v>
      </c>
      <c r="F19" s="46">
        <v>119220</v>
      </c>
      <c r="G19" s="46">
        <v>119509</v>
      </c>
      <c r="H19" s="40"/>
      <c r="I19" s="40"/>
    </row>
    <row r="20" spans="2:9" x14ac:dyDescent="0.45">
      <c r="B20" s="44" t="s">
        <v>87</v>
      </c>
      <c r="C20" s="46"/>
      <c r="D20" s="55">
        <v>11298</v>
      </c>
      <c r="E20" s="55">
        <v>9366</v>
      </c>
      <c r="F20" s="46">
        <v>27597</v>
      </c>
      <c r="G20" s="46">
        <v>22604</v>
      </c>
      <c r="H20" s="40"/>
      <c r="I20" s="40"/>
    </row>
    <row r="21" spans="2:9" x14ac:dyDescent="0.45">
      <c r="B21" s="60" t="s">
        <v>88</v>
      </c>
      <c r="C21" s="58"/>
      <c r="D21" s="52">
        <v>21897</v>
      </c>
      <c r="E21" s="52">
        <v>30601</v>
      </c>
      <c r="F21" s="58">
        <v>36460</v>
      </c>
      <c r="G21" s="58">
        <v>40565</v>
      </c>
      <c r="H21" s="40"/>
      <c r="I21" s="40"/>
    </row>
    <row r="22" spans="2:9" ht="14.1" thickBot="1" x14ac:dyDescent="0.5">
      <c r="B22" s="47" t="s">
        <v>89</v>
      </c>
      <c r="C22" s="61"/>
      <c r="D22" s="62">
        <v>364840</v>
      </c>
      <c r="E22" s="62">
        <v>411976</v>
      </c>
      <c r="F22" s="61">
        <v>512163</v>
      </c>
      <c r="G22" s="61">
        <v>619003</v>
      </c>
      <c r="H22" s="40"/>
      <c r="I22" s="40"/>
    </row>
    <row r="23" spans="2:9" x14ac:dyDescent="0.45">
      <c r="B23" s="44" t="s">
        <v>90</v>
      </c>
      <c r="C23" s="63"/>
      <c r="D23" s="63"/>
      <c r="E23" s="63"/>
      <c r="F23" s="63"/>
      <c r="G23" s="63"/>
      <c r="H23" s="40"/>
      <c r="I23" s="40"/>
    </row>
    <row r="24" spans="2:9" x14ac:dyDescent="0.45">
      <c r="B24" s="44" t="s">
        <v>2</v>
      </c>
      <c r="C24" s="63"/>
      <c r="D24" s="63"/>
      <c r="E24" s="63"/>
      <c r="F24" s="63"/>
      <c r="G24" s="63"/>
      <c r="H24" s="40"/>
      <c r="I24" s="40"/>
    </row>
    <row r="25" spans="2:9" x14ac:dyDescent="0.45">
      <c r="B25" s="47" t="s">
        <v>91</v>
      </c>
      <c r="C25" s="48"/>
      <c r="D25" s="49">
        <v>19000</v>
      </c>
      <c r="E25" s="49">
        <v>18095</v>
      </c>
      <c r="F25" s="48">
        <v>21996</v>
      </c>
      <c r="G25" s="48">
        <v>27724</v>
      </c>
      <c r="H25" s="40"/>
      <c r="I25" s="40"/>
    </row>
    <row r="26" spans="2:9" x14ac:dyDescent="0.45">
      <c r="B26" s="44" t="s">
        <v>92</v>
      </c>
      <c r="C26" s="48"/>
      <c r="D26" s="55"/>
      <c r="E26" s="55"/>
      <c r="F26" s="46">
        <v>6693</v>
      </c>
      <c r="G26" s="46">
        <v>0</v>
      </c>
      <c r="H26" s="40"/>
      <c r="I26" s="40"/>
    </row>
    <row r="27" spans="2:9" x14ac:dyDescent="0.45">
      <c r="B27" s="47" t="s">
        <v>93</v>
      </c>
      <c r="C27" s="46"/>
      <c r="D27" s="55">
        <v>2749</v>
      </c>
      <c r="E27" s="55">
        <v>5247</v>
      </c>
      <c r="F27" s="46">
        <v>2249</v>
      </c>
      <c r="G27" s="46">
        <v>2999</v>
      </c>
      <c r="H27" s="40"/>
      <c r="I27" s="40"/>
    </row>
    <row r="28" spans="2:9" x14ac:dyDescent="0.45">
      <c r="B28" s="47" t="s">
        <v>94</v>
      </c>
      <c r="C28" s="46"/>
      <c r="D28" s="55">
        <v>10661</v>
      </c>
      <c r="E28" s="55">
        <v>11009</v>
      </c>
      <c r="F28" s="46">
        <v>12564</v>
      </c>
      <c r="G28" s="46">
        <v>13709</v>
      </c>
      <c r="H28" s="40"/>
      <c r="I28" s="40"/>
    </row>
    <row r="29" spans="2:9" x14ac:dyDescent="0.45">
      <c r="B29" s="47" t="s">
        <v>95</v>
      </c>
      <c r="C29" s="46"/>
      <c r="D29" s="55">
        <v>4067</v>
      </c>
      <c r="E29" s="55">
        <v>4152</v>
      </c>
      <c r="F29" s="46">
        <v>5017</v>
      </c>
      <c r="G29" s="46">
        <v>7211</v>
      </c>
      <c r="H29" s="40"/>
      <c r="I29" s="40"/>
    </row>
    <row r="30" spans="2:9" x14ac:dyDescent="0.45">
      <c r="B30" s="47" t="s">
        <v>96</v>
      </c>
      <c r="C30" s="46"/>
      <c r="D30" s="55">
        <v>45538</v>
      </c>
      <c r="E30" s="55">
        <v>50901</v>
      </c>
      <c r="F30" s="46">
        <v>57582</v>
      </c>
      <c r="G30" s="46">
        <v>64555</v>
      </c>
      <c r="H30" s="40"/>
      <c r="I30" s="40"/>
    </row>
    <row r="31" spans="2:9" x14ac:dyDescent="0.45">
      <c r="B31" s="64" t="s">
        <v>97</v>
      </c>
      <c r="C31" s="58"/>
      <c r="D31" s="52">
        <v>13067</v>
      </c>
      <c r="E31" s="52">
        <v>14745</v>
      </c>
      <c r="F31" s="58">
        <v>19185</v>
      </c>
      <c r="G31" s="58">
        <v>25020</v>
      </c>
      <c r="H31" s="40"/>
      <c r="I31" s="40"/>
    </row>
    <row r="32" spans="2:9" x14ac:dyDescent="0.45">
      <c r="B32" s="47" t="s">
        <v>98</v>
      </c>
      <c r="C32" s="54"/>
      <c r="D32" s="55">
        <v>47032</v>
      </c>
      <c r="E32" s="55">
        <v>41990</v>
      </c>
      <c r="F32" s="54">
        <v>125286</v>
      </c>
      <c r="G32" s="54">
        <v>141218</v>
      </c>
      <c r="H32" s="40"/>
      <c r="I32" s="40"/>
    </row>
    <row r="33" spans="2:9" x14ac:dyDescent="0.45">
      <c r="B33" s="44" t="s">
        <v>56</v>
      </c>
      <c r="C33" s="54"/>
      <c r="D33" s="55">
        <v>47032</v>
      </c>
      <c r="E33" s="55">
        <v>41990</v>
      </c>
      <c r="F33" s="54">
        <v>42688</v>
      </c>
      <c r="G33" s="54">
        <v>40152</v>
      </c>
      <c r="H33" s="40"/>
      <c r="I33" s="40"/>
    </row>
    <row r="34" spans="2:9" x14ac:dyDescent="0.45">
      <c r="B34" s="44" t="s">
        <v>99</v>
      </c>
      <c r="C34" s="54"/>
      <c r="D34" s="55">
        <v>26069</v>
      </c>
      <c r="E34" s="55">
        <v>25560</v>
      </c>
      <c r="F34" s="54">
        <v>27931</v>
      </c>
      <c r="G34" s="54">
        <v>25986</v>
      </c>
      <c r="H34" s="40"/>
      <c r="I34" s="40"/>
    </row>
    <row r="35" spans="2:9" x14ac:dyDescent="0.45">
      <c r="B35" s="44" t="s">
        <v>100</v>
      </c>
      <c r="C35" s="54"/>
      <c r="D35" s="55">
        <v>2870</v>
      </c>
      <c r="E35" s="55">
        <v>2912</v>
      </c>
      <c r="F35" s="54">
        <v>2602</v>
      </c>
      <c r="G35" s="54">
        <v>2710</v>
      </c>
      <c r="H35" s="40"/>
      <c r="I35" s="40"/>
    </row>
    <row r="36" spans="2:9" x14ac:dyDescent="0.45">
      <c r="B36" s="44" t="s">
        <v>11</v>
      </c>
      <c r="C36" s="54"/>
      <c r="D36" s="65">
        <v>230</v>
      </c>
      <c r="E36" s="65">
        <v>433</v>
      </c>
      <c r="F36" s="54">
        <v>2618</v>
      </c>
      <c r="G36" s="54">
        <v>2835</v>
      </c>
      <c r="H36" s="40"/>
      <c r="I36" s="40"/>
    </row>
    <row r="37" spans="2:9" x14ac:dyDescent="0.45">
      <c r="B37" s="44" t="s">
        <v>101</v>
      </c>
      <c r="C37" s="54"/>
      <c r="D37" s="55">
        <v>11489</v>
      </c>
      <c r="E37" s="55">
        <v>12728</v>
      </c>
      <c r="F37" s="54">
        <v>15497</v>
      </c>
      <c r="G37" s="54">
        <v>17437</v>
      </c>
      <c r="H37" s="40"/>
      <c r="I37" s="40"/>
    </row>
    <row r="38" spans="2:9" x14ac:dyDescent="0.45">
      <c r="B38" s="60" t="s">
        <v>55</v>
      </c>
      <c r="C38" s="58"/>
      <c r="D38" s="52">
        <v>15526</v>
      </c>
      <c r="E38" s="52">
        <v>17981</v>
      </c>
      <c r="F38" s="58">
        <v>27064</v>
      </c>
      <c r="G38" s="58">
        <v>45186</v>
      </c>
      <c r="H38" s="40"/>
      <c r="I38" s="40"/>
    </row>
    <row r="39" spans="2:9" x14ac:dyDescent="0.45">
      <c r="B39" s="66" t="s">
        <v>102</v>
      </c>
      <c r="C39" s="67"/>
      <c r="D39" s="68">
        <v>198298</v>
      </c>
      <c r="E39" s="68">
        <v>205753</v>
      </c>
      <c r="F39" s="67">
        <v>243686</v>
      </c>
      <c r="G39" s="67">
        <v>275524</v>
      </c>
      <c r="H39" s="40"/>
      <c r="I39" s="40"/>
    </row>
    <row r="40" spans="2:9" x14ac:dyDescent="0.45">
      <c r="B40" s="44" t="s">
        <v>103</v>
      </c>
      <c r="C40" s="69"/>
      <c r="D40" s="69"/>
      <c r="E40" s="69"/>
      <c r="F40" s="69"/>
      <c r="G40" s="69"/>
      <c r="H40" s="40"/>
      <c r="I40" s="40"/>
    </row>
    <row r="41" spans="2:9" x14ac:dyDescent="0.45">
      <c r="B41" s="44" t="s">
        <v>104</v>
      </c>
      <c r="C41" s="63"/>
      <c r="D41" s="63"/>
      <c r="E41" s="63"/>
      <c r="F41" s="63"/>
      <c r="G41" s="63"/>
      <c r="H41" s="40"/>
      <c r="I41" s="40"/>
    </row>
    <row r="42" spans="2:9" ht="32.25" customHeight="1" x14ac:dyDescent="0.45">
      <c r="B42" s="70" t="s">
        <v>105</v>
      </c>
      <c r="C42" s="54"/>
      <c r="D42" s="55">
        <v>86939</v>
      </c>
      <c r="E42" s="55">
        <v>93718</v>
      </c>
      <c r="F42" s="54">
        <v>100923</v>
      </c>
      <c r="G42" s="54">
        <v>109095</v>
      </c>
      <c r="H42" s="40"/>
      <c r="I42" s="40"/>
    </row>
    <row r="43" spans="2:9" x14ac:dyDescent="0.45">
      <c r="B43" s="70" t="s">
        <v>106</v>
      </c>
      <c r="C43" s="54"/>
      <c r="D43" s="55">
        <v>84281</v>
      </c>
      <c r="E43" s="55">
        <v>118848</v>
      </c>
      <c r="F43" s="54">
        <v>173144</v>
      </c>
      <c r="G43" s="54">
        <v>237731</v>
      </c>
      <c r="H43" s="40"/>
      <c r="I43" s="40"/>
    </row>
    <row r="44" spans="2:9" x14ac:dyDescent="0.45">
      <c r="B44" s="71" t="s">
        <v>107</v>
      </c>
      <c r="C44" s="54"/>
      <c r="D44" s="55">
        <v>-4678</v>
      </c>
      <c r="E44" s="52">
        <v>-6343</v>
      </c>
      <c r="F44" s="54">
        <v>-5590</v>
      </c>
      <c r="G44" s="51">
        <v>-3347</v>
      </c>
      <c r="H44" s="40"/>
      <c r="I44" s="40"/>
    </row>
    <row r="45" spans="2:9" x14ac:dyDescent="0.45">
      <c r="B45" s="71" t="s">
        <v>108</v>
      </c>
      <c r="C45" s="51"/>
      <c r="D45" s="68">
        <v>166542</v>
      </c>
      <c r="E45" s="52">
        <v>206223</v>
      </c>
      <c r="F45" s="67">
        <v>268477</v>
      </c>
      <c r="G45" s="51">
        <v>343479</v>
      </c>
      <c r="H45" s="40"/>
      <c r="I45" s="40"/>
    </row>
    <row r="46" spans="2:9" ht="14.1" thickBot="1" x14ac:dyDescent="0.5">
      <c r="B46" s="47" t="s">
        <v>109</v>
      </c>
      <c r="C46" s="61"/>
      <c r="D46" s="62">
        <v>364840</v>
      </c>
      <c r="E46" s="62">
        <v>411976</v>
      </c>
      <c r="F46" s="61">
        <v>512163</v>
      </c>
      <c r="G46" s="61">
        <v>619003</v>
      </c>
      <c r="H46" s="40"/>
      <c r="I46" s="40"/>
    </row>
    <row r="47" spans="2:9" x14ac:dyDescent="0.45">
      <c r="B47" s="44"/>
      <c r="C47" s="72"/>
      <c r="D47" s="72"/>
      <c r="E47" s="72"/>
      <c r="F47" s="72"/>
      <c r="G47" s="72"/>
      <c r="H47" s="40"/>
      <c r="I47" s="40"/>
    </row>
    <row r="48" spans="2:9" x14ac:dyDescent="0.45">
      <c r="B48" s="73"/>
      <c r="C48" s="39"/>
      <c r="D48" s="39"/>
      <c r="E48" s="39"/>
      <c r="F48" s="39"/>
      <c r="G48" s="39"/>
      <c r="H48" s="40"/>
      <c r="I48" s="40"/>
    </row>
    <row r="49" spans="2:9" x14ac:dyDescent="0.45">
      <c r="B49" s="40"/>
      <c r="C49" s="39"/>
      <c r="D49" s="39"/>
      <c r="E49" s="39"/>
      <c r="F49" s="39"/>
      <c r="G49" s="39"/>
      <c r="H49" s="40"/>
      <c r="I49" s="40"/>
    </row>
  </sheetData>
  <pageMargins left="0.7" right="0.7" top="0.75" bottom="0.75" header="0.3" footer="0.3"/>
  <pageSetup orientation="portrait" r:id="rId1"/>
  <ignoredErrors>
    <ignoredError sqref="D6:G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5512A-5F09-48D0-BCC2-F8125202ED17}">
  <dimension ref="B2:HD47"/>
  <sheetViews>
    <sheetView showGridLines="0" workbookViewId="0"/>
  </sheetViews>
  <sheetFormatPr defaultColWidth="9" defaultRowHeight="13.8" x14ac:dyDescent="0.45"/>
  <cols>
    <col min="1" max="1" width="3.734375" style="1" customWidth="1"/>
    <col min="2" max="2" width="32.68359375" style="1" customWidth="1"/>
    <col min="3" max="8" width="12.578125" style="1" customWidth="1"/>
    <col min="9" max="16384" width="9" style="1"/>
  </cols>
  <sheetData>
    <row r="2" spans="2:8" ht="14.1" x14ac:dyDescent="0.5">
      <c r="B2" s="77" t="s">
        <v>135</v>
      </c>
      <c r="C2" s="78"/>
      <c r="D2" s="78"/>
      <c r="E2" s="78"/>
      <c r="F2" s="78"/>
      <c r="G2" s="78"/>
    </row>
    <row r="3" spans="2:8" ht="14.1" x14ac:dyDescent="0.5">
      <c r="B3" s="77" t="s">
        <v>171</v>
      </c>
      <c r="C3" s="78"/>
      <c r="D3" s="78"/>
      <c r="E3" s="78"/>
      <c r="F3" s="78"/>
      <c r="G3" s="78"/>
    </row>
    <row r="4" spans="2:8" x14ac:dyDescent="0.45">
      <c r="B4" s="79" t="s">
        <v>172</v>
      </c>
      <c r="C4" s="80"/>
      <c r="D4" s="80"/>
      <c r="E4" s="80"/>
      <c r="F4" s="78"/>
      <c r="G4" s="78"/>
    </row>
    <row r="5" spans="2:8" x14ac:dyDescent="0.45">
      <c r="B5" s="79"/>
      <c r="C5" s="80"/>
      <c r="D5" s="80"/>
      <c r="E5" s="80"/>
      <c r="F5" s="80"/>
      <c r="G5" s="80"/>
    </row>
    <row r="6" spans="2:8" ht="14.1" x14ac:dyDescent="0.5">
      <c r="B6" s="79"/>
      <c r="C6" s="81" t="s">
        <v>173</v>
      </c>
      <c r="D6" s="81" t="s">
        <v>174</v>
      </c>
      <c r="E6" s="81" t="s">
        <v>175</v>
      </c>
      <c r="F6" s="81" t="s">
        <v>176</v>
      </c>
      <c r="G6" s="81" t="s">
        <v>177</v>
      </c>
      <c r="H6" s="81" t="s">
        <v>178</v>
      </c>
    </row>
    <row r="7" spans="2:8" x14ac:dyDescent="0.45">
      <c r="B7" s="82" t="s">
        <v>179</v>
      </c>
      <c r="C7" s="83"/>
      <c r="D7" s="83"/>
      <c r="E7" s="83"/>
      <c r="F7" s="83"/>
      <c r="G7" s="83"/>
      <c r="H7" s="83"/>
    </row>
    <row r="8" spans="2:8" x14ac:dyDescent="0.45">
      <c r="B8" s="82" t="s">
        <v>180</v>
      </c>
      <c r="C8" s="84">
        <v>68041</v>
      </c>
      <c r="D8" s="84">
        <v>71074</v>
      </c>
      <c r="E8" s="84">
        <v>72732</v>
      </c>
      <c r="F8" s="84">
        <v>64699</v>
      </c>
      <c r="G8" s="84">
        <v>64773</v>
      </c>
      <c r="H8" s="84">
        <v>63946</v>
      </c>
    </row>
    <row r="9" spans="2:8" x14ac:dyDescent="0.45">
      <c r="B9" s="82" t="s">
        <v>181</v>
      </c>
      <c r="C9" s="85">
        <v>74974</v>
      </c>
      <c r="D9" s="85">
        <v>97014</v>
      </c>
      <c r="E9" s="85">
        <v>125538</v>
      </c>
      <c r="F9" s="85">
        <v>147216</v>
      </c>
      <c r="G9" s="85">
        <v>180349</v>
      </c>
      <c r="H9" s="85">
        <v>217778</v>
      </c>
    </row>
    <row r="10" spans="2:8" x14ac:dyDescent="0.45">
      <c r="B10" s="82" t="s">
        <v>182</v>
      </c>
      <c r="C10" s="86">
        <v>143015</v>
      </c>
      <c r="D10" s="86">
        <v>168088</v>
      </c>
      <c r="E10" s="86">
        <v>198270</v>
      </c>
      <c r="F10" s="86">
        <v>211915</v>
      </c>
      <c r="G10" s="86">
        <v>245122</v>
      </c>
      <c r="H10" s="86">
        <v>281724</v>
      </c>
    </row>
    <row r="11" spans="2:8" x14ac:dyDescent="0.45">
      <c r="B11" s="82" t="s">
        <v>183</v>
      </c>
      <c r="C11" s="87"/>
      <c r="D11" s="87"/>
      <c r="E11" s="87"/>
      <c r="F11" s="87"/>
      <c r="G11" s="87"/>
      <c r="H11" s="87"/>
    </row>
    <row r="12" spans="2:8" x14ac:dyDescent="0.45">
      <c r="B12" s="82" t="s">
        <v>180</v>
      </c>
      <c r="C12" s="13">
        <v>16017</v>
      </c>
      <c r="D12" s="13">
        <v>18219</v>
      </c>
      <c r="E12" s="13">
        <v>19064</v>
      </c>
      <c r="F12" s="13">
        <v>17804</v>
      </c>
      <c r="G12" s="13">
        <v>15272</v>
      </c>
      <c r="H12" s="13">
        <v>13501</v>
      </c>
    </row>
    <row r="13" spans="2:8" x14ac:dyDescent="0.45">
      <c r="B13" s="82" t="s">
        <v>181</v>
      </c>
      <c r="C13" s="88">
        <v>30061</v>
      </c>
      <c r="D13" s="88">
        <v>34013</v>
      </c>
      <c r="E13" s="88">
        <v>43586</v>
      </c>
      <c r="F13" s="88">
        <v>48059</v>
      </c>
      <c r="G13" s="88">
        <v>58842</v>
      </c>
      <c r="H13" s="88">
        <v>74330</v>
      </c>
    </row>
    <row r="14" spans="2:8" x14ac:dyDescent="0.45">
      <c r="B14" s="82" t="s">
        <v>184</v>
      </c>
      <c r="C14" s="89">
        <v>46078</v>
      </c>
      <c r="D14" s="89">
        <v>52232</v>
      </c>
      <c r="E14" s="89">
        <v>62650</v>
      </c>
      <c r="F14" s="89">
        <v>65863</v>
      </c>
      <c r="G14" s="89">
        <v>74114</v>
      </c>
      <c r="H14" s="89">
        <v>87831</v>
      </c>
    </row>
    <row r="15" spans="2:8" x14ac:dyDescent="0.45">
      <c r="B15" s="82" t="s">
        <v>185</v>
      </c>
      <c r="C15" s="90">
        <v>96937</v>
      </c>
      <c r="D15" s="90">
        <v>115856</v>
      </c>
      <c r="E15" s="90">
        <v>135620</v>
      </c>
      <c r="F15" s="90">
        <v>146052</v>
      </c>
      <c r="G15" s="90">
        <v>171008</v>
      </c>
      <c r="H15" s="90">
        <v>193893</v>
      </c>
    </row>
    <row r="16" spans="2:8" x14ac:dyDescent="0.45">
      <c r="B16" s="82" t="s">
        <v>186</v>
      </c>
      <c r="C16" s="13">
        <v>19269</v>
      </c>
      <c r="D16" s="13">
        <v>20716</v>
      </c>
      <c r="E16" s="13">
        <v>24512</v>
      </c>
      <c r="F16" s="13">
        <v>27195</v>
      </c>
      <c r="G16" s="13">
        <v>29510</v>
      </c>
      <c r="H16" s="13">
        <v>32488</v>
      </c>
    </row>
    <row r="17" spans="2:212" x14ac:dyDescent="0.45">
      <c r="B17" s="82" t="s">
        <v>9</v>
      </c>
      <c r="C17" s="13">
        <v>19598</v>
      </c>
      <c r="D17" s="13">
        <v>20117</v>
      </c>
      <c r="E17" s="13">
        <v>21825</v>
      </c>
      <c r="F17" s="13">
        <v>22759</v>
      </c>
      <c r="G17" s="13">
        <v>24456</v>
      </c>
      <c r="H17" s="13">
        <v>25654</v>
      </c>
    </row>
    <row r="18" spans="2:212" x14ac:dyDescent="0.45">
      <c r="B18" s="82" t="s">
        <v>187</v>
      </c>
      <c r="C18" s="13">
        <v>5111</v>
      </c>
      <c r="D18" s="13">
        <v>5107</v>
      </c>
      <c r="E18" s="13">
        <v>5900</v>
      </c>
      <c r="F18" s="13">
        <v>7575</v>
      </c>
      <c r="G18" s="13">
        <v>7609</v>
      </c>
      <c r="H18" s="13">
        <v>7223</v>
      </c>
    </row>
    <row r="19" spans="2:212" x14ac:dyDescent="0.45">
      <c r="B19" s="82" t="s">
        <v>188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r="20" spans="2:212" x14ac:dyDescent="0.45">
      <c r="B20" s="82" t="s">
        <v>17</v>
      </c>
      <c r="C20" s="91">
        <v>52959</v>
      </c>
      <c r="D20" s="91">
        <v>69916</v>
      </c>
      <c r="E20" s="91">
        <v>83383</v>
      </c>
      <c r="F20" s="91">
        <v>88523</v>
      </c>
      <c r="G20" s="91">
        <v>109433</v>
      </c>
      <c r="H20" s="91">
        <v>128528</v>
      </c>
    </row>
    <row r="21" spans="2:212" x14ac:dyDescent="0.45">
      <c r="B21" s="82" t="s">
        <v>48</v>
      </c>
      <c r="C21" s="88">
        <v>77</v>
      </c>
      <c r="D21" s="88">
        <v>1186</v>
      </c>
      <c r="E21" s="88">
        <v>333</v>
      </c>
      <c r="F21" s="88">
        <v>788</v>
      </c>
      <c r="G21" s="88">
        <v>-1646</v>
      </c>
      <c r="H21" s="88">
        <v>-4901</v>
      </c>
    </row>
    <row r="22" spans="2:212" x14ac:dyDescent="0.45">
      <c r="B22" s="82" t="s">
        <v>189</v>
      </c>
      <c r="C22" s="13">
        <v>53036</v>
      </c>
      <c r="D22" s="13">
        <v>71102</v>
      </c>
      <c r="E22" s="13">
        <v>83716</v>
      </c>
      <c r="F22" s="13">
        <v>89311</v>
      </c>
      <c r="G22" s="13">
        <v>107787</v>
      </c>
      <c r="H22" s="13">
        <v>123627</v>
      </c>
    </row>
    <row r="23" spans="2:212" x14ac:dyDescent="0.45">
      <c r="B23" s="82" t="s">
        <v>190</v>
      </c>
      <c r="C23" s="88">
        <v>8755</v>
      </c>
      <c r="D23" s="88">
        <v>9831</v>
      </c>
      <c r="E23" s="88">
        <v>10978</v>
      </c>
      <c r="F23" s="88">
        <v>16950</v>
      </c>
      <c r="G23" s="88">
        <v>19651</v>
      </c>
      <c r="H23" s="88">
        <v>21795</v>
      </c>
    </row>
    <row r="24" spans="2:212" ht="14.1" thickBot="1" x14ac:dyDescent="0.5">
      <c r="B24" s="82" t="s">
        <v>47</v>
      </c>
      <c r="C24" s="92">
        <v>44281</v>
      </c>
      <c r="D24" s="92">
        <v>61271</v>
      </c>
      <c r="E24" s="92">
        <v>72738</v>
      </c>
      <c r="F24" s="92">
        <v>72361</v>
      </c>
      <c r="G24" s="92">
        <v>88136</v>
      </c>
      <c r="H24" s="92">
        <v>101832</v>
      </c>
    </row>
    <row r="25" spans="2:212" x14ac:dyDescent="0.45">
      <c r="B25" s="82" t="s">
        <v>191</v>
      </c>
      <c r="C25" s="93"/>
      <c r="D25" s="93"/>
      <c r="E25" s="93"/>
      <c r="F25" s="93"/>
      <c r="G25" s="93"/>
      <c r="H25" s="93"/>
    </row>
    <row r="26" spans="2:212" x14ac:dyDescent="0.45">
      <c r="B26" s="82" t="s">
        <v>192</v>
      </c>
      <c r="C26" s="93">
        <v>5.82</v>
      </c>
      <c r="D26" s="93">
        <v>8.1199999999999992</v>
      </c>
      <c r="E26" s="93">
        <v>9.6999999999999993</v>
      </c>
      <c r="F26" s="93">
        <v>9.7200000000000006</v>
      </c>
      <c r="G26" s="93">
        <v>11.86</v>
      </c>
      <c r="H26" s="93">
        <v>13.7</v>
      </c>
    </row>
    <row r="27" spans="2:212" x14ac:dyDescent="0.45">
      <c r="B27" s="82" t="s">
        <v>193</v>
      </c>
      <c r="C27" s="93">
        <v>5.76</v>
      </c>
      <c r="D27" s="93">
        <v>8.0500000000000007</v>
      </c>
      <c r="E27" s="93">
        <v>9.65</v>
      </c>
      <c r="F27" s="93">
        <v>9.68</v>
      </c>
      <c r="G27" s="93">
        <v>11.8</v>
      </c>
      <c r="H27" s="93">
        <v>13.64</v>
      </c>
    </row>
    <row r="28" spans="2:212" x14ac:dyDescent="0.45">
      <c r="B28" s="79"/>
      <c r="C28" s="93"/>
      <c r="D28" s="93"/>
      <c r="E28" s="93"/>
      <c r="F28" s="93"/>
      <c r="G28" s="93"/>
    </row>
    <row r="29" spans="2:212" x14ac:dyDescent="0.45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  <c r="EY29" s="79"/>
      <c r="EZ29" s="79"/>
      <c r="FA29" s="79"/>
      <c r="FB29" s="79"/>
      <c r="FC29" s="79"/>
      <c r="FD29" s="79"/>
      <c r="FE29" s="79"/>
      <c r="FF29" s="79"/>
      <c r="FG29" s="79"/>
      <c r="FH29" s="79"/>
      <c r="FI29" s="79"/>
      <c r="FJ29" s="79"/>
      <c r="FK29" s="79"/>
      <c r="FL29" s="79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9"/>
      <c r="GY29" s="79"/>
      <c r="GZ29" s="79"/>
      <c r="HA29" s="79"/>
      <c r="HB29" s="79"/>
      <c r="HC29" s="79"/>
      <c r="HD29" s="79"/>
    </row>
    <row r="30" spans="2:212" x14ac:dyDescent="0.45">
      <c r="B30" s="79" t="s">
        <v>8</v>
      </c>
      <c r="C30" s="13">
        <v>2591</v>
      </c>
      <c r="D30" s="13">
        <v>2346</v>
      </c>
      <c r="E30" s="13">
        <v>2063</v>
      </c>
      <c r="F30" s="13">
        <v>1968</v>
      </c>
      <c r="G30" s="13">
        <v>2935</v>
      </c>
      <c r="H30" s="13">
        <v>2385</v>
      </c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  <c r="EY30" s="79"/>
      <c r="EZ30" s="79"/>
      <c r="FA30" s="79"/>
      <c r="FB30" s="79"/>
      <c r="FC30" s="79"/>
      <c r="FD30" s="79"/>
      <c r="FE30" s="79"/>
      <c r="FF30" s="79"/>
      <c r="FG30" s="79"/>
      <c r="FH30" s="79"/>
      <c r="FI30" s="79"/>
      <c r="FJ30" s="79"/>
      <c r="FK30" s="79"/>
      <c r="FL30" s="79"/>
      <c r="FM30" s="79"/>
      <c r="FN30" s="79"/>
      <c r="FO30" s="79"/>
      <c r="FP30" s="79"/>
      <c r="FQ30" s="79"/>
      <c r="FR30" s="79"/>
      <c r="FS30" s="79"/>
      <c r="FT30" s="79"/>
      <c r="FU30" s="79"/>
      <c r="FV30" s="79"/>
      <c r="FW30" s="79"/>
      <c r="FX30" s="79"/>
      <c r="FY30" s="79"/>
      <c r="FZ30" s="79"/>
      <c r="GA30" s="79"/>
      <c r="GB30" s="79"/>
      <c r="GC30" s="79"/>
      <c r="GD30" s="79"/>
      <c r="GE30" s="79"/>
      <c r="GF30" s="79"/>
      <c r="GG30" s="79"/>
      <c r="GH30" s="79"/>
      <c r="GI30" s="79"/>
      <c r="GJ30" s="79"/>
      <c r="GK30" s="79"/>
      <c r="GL30" s="79"/>
      <c r="GM30" s="79"/>
      <c r="GN30" s="79"/>
      <c r="GO30" s="79"/>
      <c r="GP30" s="79"/>
      <c r="GQ30" s="79"/>
      <c r="GR30" s="79"/>
      <c r="GS30" s="79"/>
      <c r="GT30" s="79"/>
      <c r="GU30" s="79"/>
      <c r="GV30" s="79"/>
      <c r="GW30" s="79"/>
      <c r="GX30" s="79"/>
      <c r="GY30" s="79"/>
      <c r="GZ30" s="79"/>
      <c r="HA30" s="79"/>
      <c r="HB30" s="79"/>
      <c r="HC30" s="79"/>
      <c r="HD30" s="94"/>
    </row>
    <row r="31" spans="2:212" ht="14.1" x14ac:dyDescent="0.5">
      <c r="B31" s="95"/>
      <c r="C31" s="96"/>
      <c r="D31" s="96"/>
      <c r="E31" s="96"/>
      <c r="F31" s="97"/>
      <c r="G31" s="97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  <c r="GN31" s="78"/>
      <c r="GO31" s="78"/>
      <c r="GP31" s="78"/>
      <c r="GQ31" s="78"/>
      <c r="GR31" s="78"/>
      <c r="GS31" s="78"/>
      <c r="GT31" s="78"/>
      <c r="GU31" s="78"/>
      <c r="GV31" s="78"/>
      <c r="GW31" s="78"/>
      <c r="GX31" s="78"/>
      <c r="GY31" s="78"/>
      <c r="GZ31" s="78"/>
      <c r="HA31" s="78"/>
      <c r="HB31" s="78"/>
      <c r="HC31" s="78"/>
      <c r="HD31" s="78"/>
    </row>
    <row r="32" spans="2:212" ht="14.1" x14ac:dyDescent="0.5">
      <c r="B32" s="98"/>
      <c r="C32" s="99"/>
      <c r="D32" s="99"/>
      <c r="E32" s="99"/>
      <c r="F32" s="99"/>
      <c r="G32" s="99"/>
    </row>
    <row r="33" spans="2:7" ht="14.1" x14ac:dyDescent="0.5">
      <c r="B33" s="98"/>
      <c r="C33" s="100"/>
      <c r="D33" s="100"/>
      <c r="E33" s="100"/>
      <c r="F33" s="100"/>
      <c r="G33" s="100"/>
    </row>
    <row r="34" spans="2:7" ht="14.1" x14ac:dyDescent="0.5">
      <c r="B34" s="98"/>
      <c r="C34" s="100"/>
      <c r="D34" s="100"/>
      <c r="E34" s="100"/>
      <c r="F34" s="100"/>
      <c r="G34" s="100"/>
    </row>
    <row r="35" spans="2:7" ht="14.1" x14ac:dyDescent="0.5">
      <c r="B35" s="98"/>
      <c r="C35" s="100"/>
      <c r="D35" s="100"/>
      <c r="E35" s="100"/>
      <c r="F35" s="100"/>
      <c r="G35" s="100"/>
    </row>
    <row r="36" spans="2:7" x14ac:dyDescent="0.45">
      <c r="B36" s="98"/>
      <c r="C36" s="79"/>
      <c r="D36" s="79"/>
      <c r="E36" s="79"/>
      <c r="F36" s="78"/>
      <c r="G36" s="78"/>
    </row>
    <row r="37" spans="2:7" x14ac:dyDescent="0.45">
      <c r="C37" s="79"/>
      <c r="D37" s="79"/>
      <c r="E37" s="79"/>
      <c r="F37" s="78"/>
      <c r="G37" s="78"/>
    </row>
    <row r="38" spans="2:7" x14ac:dyDescent="0.45">
      <c r="C38" s="79"/>
      <c r="D38" s="79"/>
      <c r="E38" s="79"/>
      <c r="F38" s="78"/>
      <c r="G38" s="78"/>
    </row>
    <row r="39" spans="2:7" x14ac:dyDescent="0.45">
      <c r="C39" s="79"/>
      <c r="D39" s="79"/>
      <c r="E39" s="79"/>
      <c r="F39" s="78"/>
      <c r="G39" s="78"/>
    </row>
    <row r="40" spans="2:7" x14ac:dyDescent="0.45">
      <c r="C40" s="79"/>
      <c r="D40" s="79"/>
      <c r="E40" s="79"/>
      <c r="F40" s="78"/>
      <c r="G40" s="78"/>
    </row>
    <row r="41" spans="2:7" x14ac:dyDescent="0.45">
      <c r="C41" s="79"/>
      <c r="D41" s="79"/>
      <c r="E41" s="79"/>
      <c r="F41" s="78"/>
      <c r="G41" s="78"/>
    </row>
    <row r="42" spans="2:7" x14ac:dyDescent="0.45">
      <c r="C42" s="79"/>
      <c r="D42" s="79"/>
      <c r="E42" s="79"/>
      <c r="F42" s="78"/>
      <c r="G42" s="78"/>
    </row>
    <row r="43" spans="2:7" x14ac:dyDescent="0.45">
      <c r="C43" s="79"/>
      <c r="D43" s="79"/>
      <c r="E43" s="79"/>
      <c r="F43" s="78"/>
      <c r="G43" s="78"/>
    </row>
    <row r="44" spans="2:7" x14ac:dyDescent="0.45">
      <c r="C44" s="79"/>
      <c r="D44" s="79"/>
      <c r="E44" s="79"/>
      <c r="F44" s="78"/>
      <c r="G44" s="78"/>
    </row>
    <row r="45" spans="2:7" x14ac:dyDescent="0.45">
      <c r="C45" s="79"/>
      <c r="D45" s="79"/>
      <c r="E45" s="79"/>
      <c r="F45" s="78"/>
      <c r="G45" s="78"/>
    </row>
    <row r="46" spans="2:7" x14ac:dyDescent="0.45">
      <c r="C46" s="79"/>
      <c r="D46" s="79"/>
      <c r="E46" s="79"/>
      <c r="F46" s="78"/>
      <c r="G46" s="78"/>
    </row>
    <row r="47" spans="2:7" x14ac:dyDescent="0.45">
      <c r="C47" s="78"/>
      <c r="D47" s="78"/>
      <c r="E47" s="78"/>
      <c r="F47" s="78"/>
      <c r="G47" s="7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6D84-2CB4-4BF9-B7C8-EA32AC890B69}">
  <dimension ref="B2:H50"/>
  <sheetViews>
    <sheetView showGridLines="0" zoomScaleNormal="100" workbookViewId="0"/>
  </sheetViews>
  <sheetFormatPr defaultColWidth="9" defaultRowHeight="13.8" x14ac:dyDescent="0.45"/>
  <cols>
    <col min="1" max="1" width="4.20703125" style="1" customWidth="1"/>
    <col min="2" max="2" width="50.89453125" style="1" bestFit="1" customWidth="1"/>
    <col min="3" max="6" width="12.578125" style="1" customWidth="1"/>
    <col min="7" max="16384" width="9" style="1"/>
  </cols>
  <sheetData>
    <row r="2" spans="2:8" ht="14.1" x14ac:dyDescent="0.5">
      <c r="B2" s="77" t="s">
        <v>135</v>
      </c>
      <c r="C2" s="101"/>
      <c r="D2" s="101"/>
      <c r="E2" s="39"/>
      <c r="F2" s="39"/>
      <c r="G2" s="41"/>
      <c r="H2" s="40"/>
    </row>
    <row r="3" spans="2:8" ht="14.1" x14ac:dyDescent="0.5">
      <c r="B3" s="77" t="s">
        <v>136</v>
      </c>
      <c r="C3" s="101"/>
      <c r="D3" s="101"/>
      <c r="E3" s="102"/>
      <c r="F3" s="102"/>
      <c r="G3" s="40"/>
      <c r="H3" s="40"/>
    </row>
    <row r="4" spans="2:8" x14ac:dyDescent="0.45">
      <c r="B4" s="102" t="s">
        <v>71</v>
      </c>
      <c r="C4" s="102"/>
      <c r="D4" s="102"/>
      <c r="E4" s="102"/>
      <c r="F4" s="102"/>
      <c r="G4" s="40"/>
      <c r="H4" s="40"/>
    </row>
    <row r="5" spans="2:8" x14ac:dyDescent="0.45">
      <c r="B5" s="103"/>
      <c r="C5" s="103"/>
      <c r="D5" s="103"/>
      <c r="E5" s="103"/>
      <c r="F5" s="103"/>
      <c r="G5" s="40"/>
      <c r="H5" s="40"/>
    </row>
    <row r="6" spans="2:8" ht="14.1" x14ac:dyDescent="0.5">
      <c r="B6" s="104"/>
      <c r="C6" s="105" t="str">
        <f>'MSFT - IS'!E6</f>
        <v>FY22</v>
      </c>
      <c r="D6" s="105" t="str">
        <f>'MSFT - IS'!F6</f>
        <v>FY23</v>
      </c>
      <c r="E6" s="105" t="str">
        <f>'MSFT - IS'!G6</f>
        <v>FY24</v>
      </c>
      <c r="F6" s="105" t="str">
        <f>'MSFT - IS'!H6</f>
        <v>FY25</v>
      </c>
      <c r="G6" s="40"/>
      <c r="H6" s="40"/>
    </row>
    <row r="7" spans="2:8" ht="14.1" x14ac:dyDescent="0.5">
      <c r="B7" s="101" t="s">
        <v>137</v>
      </c>
      <c r="C7" s="101"/>
      <c r="D7" s="101"/>
      <c r="E7" s="106"/>
      <c r="F7" s="106"/>
      <c r="G7" s="40"/>
      <c r="H7" s="40"/>
    </row>
    <row r="8" spans="2:8" x14ac:dyDescent="0.45">
      <c r="B8" s="107" t="s">
        <v>47</v>
      </c>
      <c r="C8" s="108">
        <v>72738</v>
      </c>
      <c r="D8" s="108">
        <v>72361</v>
      </c>
      <c r="E8" s="108">
        <v>88136</v>
      </c>
      <c r="F8" s="108">
        <v>101832</v>
      </c>
      <c r="G8" s="40"/>
      <c r="H8" s="40"/>
    </row>
    <row r="9" spans="2:8" ht="27.6" x14ac:dyDescent="0.45">
      <c r="B9" s="109" t="s">
        <v>138</v>
      </c>
      <c r="C9" s="110"/>
      <c r="D9" s="110"/>
      <c r="E9" s="111"/>
      <c r="F9" s="111"/>
      <c r="G9" s="40"/>
      <c r="H9" s="40"/>
    </row>
    <row r="10" spans="2:8" x14ac:dyDescent="0.45">
      <c r="B10" s="109" t="s">
        <v>139</v>
      </c>
      <c r="C10" s="110">
        <v>14460</v>
      </c>
      <c r="D10" s="110">
        <v>13861</v>
      </c>
      <c r="E10" s="110">
        <v>22287</v>
      </c>
      <c r="F10" s="110">
        <v>34153</v>
      </c>
      <c r="G10" s="40"/>
      <c r="H10" s="40"/>
    </row>
    <row r="11" spans="2:8" x14ac:dyDescent="0.45">
      <c r="B11" s="109" t="s">
        <v>140</v>
      </c>
      <c r="C11" s="110">
        <v>7502</v>
      </c>
      <c r="D11" s="110">
        <v>9611</v>
      </c>
      <c r="E11" s="110">
        <v>10734</v>
      </c>
      <c r="F11" s="110">
        <v>11974</v>
      </c>
      <c r="G11" s="40"/>
      <c r="H11" s="40"/>
    </row>
    <row r="12" spans="2:8" x14ac:dyDescent="0.45">
      <c r="B12" s="109" t="s">
        <v>141</v>
      </c>
      <c r="C12" s="110">
        <v>-409</v>
      </c>
      <c r="D12" s="110">
        <v>196</v>
      </c>
      <c r="E12" s="110">
        <v>305</v>
      </c>
      <c r="F12" s="110">
        <v>609</v>
      </c>
      <c r="G12" s="40"/>
      <c r="H12" s="40"/>
    </row>
    <row r="13" spans="2:8" x14ac:dyDescent="0.45">
      <c r="B13" s="109" t="s">
        <v>142</v>
      </c>
      <c r="C13" s="110">
        <v>-5702</v>
      </c>
      <c r="D13" s="110">
        <v>-6059</v>
      </c>
      <c r="E13" s="110">
        <v>-4738</v>
      </c>
      <c r="F13" s="110">
        <v>-7056</v>
      </c>
      <c r="G13" s="40"/>
      <c r="H13" s="40"/>
    </row>
    <row r="14" spans="2:8" x14ac:dyDescent="0.45">
      <c r="B14" s="109" t="s">
        <v>143</v>
      </c>
      <c r="C14" s="110"/>
      <c r="D14" s="110"/>
      <c r="E14" s="112"/>
      <c r="F14" s="112"/>
      <c r="G14" s="40"/>
      <c r="H14" s="40"/>
    </row>
    <row r="15" spans="2:8" x14ac:dyDescent="0.45">
      <c r="B15" s="109" t="s">
        <v>144</v>
      </c>
      <c r="C15" s="110">
        <v>-6834</v>
      </c>
      <c r="D15" s="110">
        <v>-4087</v>
      </c>
      <c r="E15" s="110">
        <v>-7191</v>
      </c>
      <c r="F15" s="110">
        <v>-10581</v>
      </c>
      <c r="G15" s="40"/>
      <c r="H15" s="40"/>
    </row>
    <row r="16" spans="2:8" x14ac:dyDescent="0.45">
      <c r="B16" s="109" t="s">
        <v>145</v>
      </c>
      <c r="C16" s="110">
        <v>-1123</v>
      </c>
      <c r="D16" s="110">
        <v>1242</v>
      </c>
      <c r="E16" s="110">
        <v>1284</v>
      </c>
      <c r="F16" s="110">
        <v>309</v>
      </c>
      <c r="G16" s="40"/>
      <c r="H16" s="40"/>
    </row>
    <row r="17" spans="2:8" x14ac:dyDescent="0.45">
      <c r="B17" s="109" t="s">
        <v>146</v>
      </c>
      <c r="C17" s="110">
        <v>-709</v>
      </c>
      <c r="D17" s="110">
        <v>-1991</v>
      </c>
      <c r="E17" s="110">
        <v>-1648</v>
      </c>
      <c r="F17" s="110">
        <v>-3044</v>
      </c>
      <c r="G17" s="40"/>
      <c r="H17" s="40"/>
    </row>
    <row r="18" spans="2:8" x14ac:dyDescent="0.45">
      <c r="B18" s="109" t="s">
        <v>147</v>
      </c>
      <c r="C18" s="110">
        <v>-2805</v>
      </c>
      <c r="D18" s="110">
        <v>-2833</v>
      </c>
      <c r="E18" s="110">
        <v>-6817</v>
      </c>
      <c r="F18" s="110">
        <v>-2950</v>
      </c>
      <c r="G18" s="40"/>
      <c r="H18" s="40"/>
    </row>
    <row r="19" spans="2:8" x14ac:dyDescent="0.45">
      <c r="B19" s="109" t="s">
        <v>148</v>
      </c>
      <c r="C19" s="110">
        <v>2943</v>
      </c>
      <c r="D19" s="110">
        <v>-2721</v>
      </c>
      <c r="E19" s="110">
        <v>3545</v>
      </c>
      <c r="F19" s="110">
        <v>569</v>
      </c>
      <c r="G19" s="40"/>
      <c r="H19" s="40"/>
    </row>
    <row r="20" spans="2:8" x14ac:dyDescent="0.45">
      <c r="B20" s="109" t="s">
        <v>149</v>
      </c>
      <c r="C20" s="110">
        <v>5109</v>
      </c>
      <c r="D20" s="110">
        <v>5535</v>
      </c>
      <c r="E20" s="110">
        <v>5348</v>
      </c>
      <c r="F20" s="110">
        <v>5438</v>
      </c>
      <c r="G20" s="40"/>
      <c r="H20" s="40"/>
    </row>
    <row r="21" spans="2:8" x14ac:dyDescent="0.45">
      <c r="B21" s="109" t="s">
        <v>150</v>
      </c>
      <c r="C21" s="110">
        <v>696</v>
      </c>
      <c r="D21" s="110">
        <v>-358</v>
      </c>
      <c r="E21" s="110">
        <v>1687</v>
      </c>
      <c r="F21" s="110">
        <v>-38</v>
      </c>
      <c r="G21" s="40"/>
      <c r="H21" s="40"/>
    </row>
    <row r="22" spans="2:8" x14ac:dyDescent="0.45">
      <c r="B22" s="109" t="s">
        <v>151</v>
      </c>
      <c r="C22" s="110">
        <v>2344</v>
      </c>
      <c r="D22" s="110">
        <v>2272</v>
      </c>
      <c r="E22" s="110">
        <v>4867</v>
      </c>
      <c r="F22" s="110">
        <v>5922</v>
      </c>
      <c r="G22" s="40"/>
      <c r="H22" s="40"/>
    </row>
    <row r="23" spans="2:8" x14ac:dyDescent="0.45">
      <c r="B23" s="113" t="s">
        <v>152</v>
      </c>
      <c r="C23" s="114">
        <v>825</v>
      </c>
      <c r="D23" s="114">
        <v>553</v>
      </c>
      <c r="E23" s="114">
        <v>749</v>
      </c>
      <c r="F23" s="114">
        <v>-975</v>
      </c>
      <c r="G23" s="40"/>
      <c r="H23" s="40"/>
    </row>
    <row r="24" spans="2:8" x14ac:dyDescent="0.45">
      <c r="B24" s="115" t="s">
        <v>153</v>
      </c>
      <c r="C24" s="114">
        <v>89035</v>
      </c>
      <c r="D24" s="114">
        <v>87582</v>
      </c>
      <c r="E24" s="116">
        <v>118548</v>
      </c>
      <c r="F24" s="116">
        <v>136162</v>
      </c>
      <c r="G24" s="40"/>
      <c r="H24" s="40"/>
    </row>
    <row r="25" spans="2:8" ht="14.1" x14ac:dyDescent="0.5">
      <c r="B25" s="101" t="s">
        <v>154</v>
      </c>
      <c r="C25" s="110"/>
      <c r="D25" s="110"/>
      <c r="E25" s="112"/>
      <c r="F25" s="112"/>
      <c r="G25" s="40"/>
      <c r="H25" s="40"/>
    </row>
    <row r="26" spans="2:8" ht="41.4" x14ac:dyDescent="0.45">
      <c r="B26" s="117" t="s">
        <v>155</v>
      </c>
      <c r="C26" s="110">
        <v>0</v>
      </c>
      <c r="D26" s="110">
        <v>0</v>
      </c>
      <c r="E26" s="110">
        <v>5250</v>
      </c>
      <c r="F26" s="110">
        <v>-5746</v>
      </c>
      <c r="G26" s="40"/>
      <c r="H26" s="40"/>
    </row>
    <row r="27" spans="2:8" x14ac:dyDescent="0.45">
      <c r="B27" s="117" t="s">
        <v>156</v>
      </c>
      <c r="C27" s="110">
        <v>0</v>
      </c>
      <c r="D27" s="110">
        <v>0</v>
      </c>
      <c r="E27" s="110">
        <v>24395</v>
      </c>
      <c r="F27" s="110">
        <v>0</v>
      </c>
      <c r="G27" s="40"/>
      <c r="H27" s="40"/>
    </row>
    <row r="28" spans="2:8" x14ac:dyDescent="0.45">
      <c r="B28" s="117" t="s">
        <v>157</v>
      </c>
      <c r="C28" s="110">
        <v>-9023</v>
      </c>
      <c r="D28" s="110">
        <v>-2750</v>
      </c>
      <c r="E28" s="110">
        <v>-29070</v>
      </c>
      <c r="F28" s="110">
        <v>-3216</v>
      </c>
      <c r="G28" s="40"/>
      <c r="H28" s="40"/>
    </row>
    <row r="29" spans="2:8" x14ac:dyDescent="0.45">
      <c r="B29" s="102" t="s">
        <v>158</v>
      </c>
      <c r="C29" s="110">
        <v>1841</v>
      </c>
      <c r="D29" s="110">
        <v>1866</v>
      </c>
      <c r="E29" s="110">
        <v>2002</v>
      </c>
      <c r="F29" s="110">
        <v>2056</v>
      </c>
      <c r="G29" s="40"/>
      <c r="H29" s="40"/>
    </row>
    <row r="30" spans="2:8" x14ac:dyDescent="0.45">
      <c r="B30" s="102" t="s">
        <v>53</v>
      </c>
      <c r="C30" s="110">
        <v>-32696</v>
      </c>
      <c r="D30" s="110">
        <v>-22245</v>
      </c>
      <c r="E30" s="110">
        <v>-17254</v>
      </c>
      <c r="F30" s="110">
        <v>-18420</v>
      </c>
      <c r="G30" s="40"/>
      <c r="H30" s="40"/>
    </row>
    <row r="31" spans="2:8" x14ac:dyDescent="0.45">
      <c r="B31" s="118" t="s">
        <v>159</v>
      </c>
      <c r="C31" s="110">
        <v>-18135</v>
      </c>
      <c r="D31" s="110">
        <v>-19800</v>
      </c>
      <c r="E31" s="110">
        <v>-21771</v>
      </c>
      <c r="F31" s="110">
        <v>-24082</v>
      </c>
      <c r="G31" s="40"/>
      <c r="H31" s="40"/>
    </row>
    <row r="32" spans="2:8" x14ac:dyDescent="0.45">
      <c r="B32" s="119" t="s">
        <v>160</v>
      </c>
      <c r="C32" s="114">
        <v>-863</v>
      </c>
      <c r="D32" s="114">
        <v>-1006</v>
      </c>
      <c r="E32" s="114">
        <v>-1309</v>
      </c>
      <c r="F32" s="114">
        <v>-2291</v>
      </c>
      <c r="G32" s="40"/>
      <c r="H32" s="40"/>
    </row>
    <row r="33" spans="2:8" x14ac:dyDescent="0.45">
      <c r="B33" s="115" t="s">
        <v>161</v>
      </c>
      <c r="C33" s="116">
        <v>-58876</v>
      </c>
      <c r="D33" s="116">
        <v>-43935</v>
      </c>
      <c r="E33" s="116">
        <v>-37757</v>
      </c>
      <c r="F33" s="116">
        <v>-51699</v>
      </c>
      <c r="G33" s="40"/>
      <c r="H33" s="40"/>
    </row>
    <row r="34" spans="2:8" ht="14.1" x14ac:dyDescent="0.5">
      <c r="B34" s="101" t="s">
        <v>162</v>
      </c>
      <c r="C34" s="110"/>
      <c r="D34" s="110"/>
      <c r="E34" s="120"/>
      <c r="F34" s="120"/>
      <c r="G34" s="40"/>
      <c r="H34" s="40"/>
    </row>
    <row r="35" spans="2:8" x14ac:dyDescent="0.45">
      <c r="B35" s="121" t="s">
        <v>163</v>
      </c>
      <c r="C35" s="110">
        <v>-23886</v>
      </c>
      <c r="D35" s="110">
        <v>-28107</v>
      </c>
      <c r="E35" s="110">
        <v>-44477</v>
      </c>
      <c r="F35" s="110">
        <v>-64551</v>
      </c>
      <c r="G35" s="40"/>
      <c r="H35" s="40"/>
    </row>
    <row r="36" spans="2:8" ht="30" customHeight="1" x14ac:dyDescent="0.45">
      <c r="B36" s="121" t="s">
        <v>164</v>
      </c>
      <c r="C36" s="110">
        <v>-22038</v>
      </c>
      <c r="D36" s="110">
        <v>-1670</v>
      </c>
      <c r="E36" s="110">
        <v>-69132</v>
      </c>
      <c r="F36" s="110">
        <v>-5978</v>
      </c>
      <c r="G36" s="40"/>
      <c r="H36" s="40"/>
    </row>
    <row r="37" spans="2:8" x14ac:dyDescent="0.45">
      <c r="B37" s="102" t="s">
        <v>10</v>
      </c>
      <c r="C37" s="110">
        <v>-26456</v>
      </c>
      <c r="D37" s="110">
        <v>-37651</v>
      </c>
      <c r="E37" s="110">
        <v>-17732</v>
      </c>
      <c r="F37" s="110">
        <v>-29775</v>
      </c>
      <c r="G37" s="40"/>
      <c r="H37" s="40"/>
    </row>
    <row r="38" spans="2:8" x14ac:dyDescent="0.45">
      <c r="B38" s="102" t="s">
        <v>165</v>
      </c>
      <c r="C38" s="110">
        <v>16451</v>
      </c>
      <c r="D38" s="110">
        <v>33510</v>
      </c>
      <c r="E38" s="110">
        <v>24775</v>
      </c>
      <c r="F38" s="110">
        <v>16079</v>
      </c>
      <c r="G38" s="40"/>
      <c r="H38" s="40"/>
    </row>
    <row r="39" spans="2:8" x14ac:dyDescent="0.45">
      <c r="B39" s="102" t="s">
        <v>15</v>
      </c>
      <c r="C39" s="110">
        <v>28443</v>
      </c>
      <c r="D39" s="110">
        <v>14354</v>
      </c>
      <c r="E39" s="110">
        <v>10894</v>
      </c>
      <c r="F39" s="110">
        <v>9309</v>
      </c>
      <c r="G39" s="40"/>
      <c r="H39" s="40"/>
    </row>
    <row r="40" spans="2:8" x14ac:dyDescent="0.45">
      <c r="B40" s="102" t="s">
        <v>160</v>
      </c>
      <c r="C40" s="110">
        <v>-2825</v>
      </c>
      <c r="D40" s="110">
        <v>-3116</v>
      </c>
      <c r="E40" s="110">
        <v>-1298</v>
      </c>
      <c r="F40" s="110">
        <v>2317</v>
      </c>
      <c r="G40" s="40"/>
      <c r="H40" s="40"/>
    </row>
    <row r="41" spans="2:8" x14ac:dyDescent="0.45">
      <c r="B41" s="122" t="s">
        <v>166</v>
      </c>
      <c r="C41" s="116">
        <v>-30311</v>
      </c>
      <c r="D41" s="116">
        <v>-22680</v>
      </c>
      <c r="E41" s="116">
        <v>-96970</v>
      </c>
      <c r="F41" s="116">
        <v>-72599</v>
      </c>
      <c r="G41" s="40"/>
      <c r="H41" s="40"/>
    </row>
    <row r="42" spans="2:8" ht="13.5" customHeight="1" x14ac:dyDescent="0.45">
      <c r="B42" s="123" t="s">
        <v>167</v>
      </c>
      <c r="C42" s="116">
        <v>-141</v>
      </c>
      <c r="D42" s="116">
        <v>-194</v>
      </c>
      <c r="E42" s="116">
        <v>-210</v>
      </c>
      <c r="F42" s="116">
        <v>63</v>
      </c>
      <c r="G42" s="40"/>
      <c r="H42" s="40"/>
    </row>
    <row r="43" spans="2:8" x14ac:dyDescent="0.45">
      <c r="B43" s="121" t="s">
        <v>168</v>
      </c>
      <c r="C43" s="110">
        <v>-293</v>
      </c>
      <c r="D43" s="110">
        <v>20773</v>
      </c>
      <c r="E43" s="110">
        <v>-16389</v>
      </c>
      <c r="F43" s="110">
        <v>11927</v>
      </c>
      <c r="G43" s="40"/>
      <c r="H43" s="40"/>
    </row>
    <row r="44" spans="2:8" x14ac:dyDescent="0.45">
      <c r="B44" s="119" t="s">
        <v>169</v>
      </c>
      <c r="C44" s="114">
        <v>14224</v>
      </c>
      <c r="D44" s="114">
        <v>13931</v>
      </c>
      <c r="E44" s="114">
        <v>34704</v>
      </c>
      <c r="F44" s="114">
        <v>18315</v>
      </c>
      <c r="G44" s="40"/>
      <c r="H44" s="40"/>
    </row>
    <row r="45" spans="2:8" ht="14.1" thickBot="1" x14ac:dyDescent="0.5">
      <c r="B45" s="121" t="s">
        <v>170</v>
      </c>
      <c r="C45" s="124">
        <v>13931</v>
      </c>
      <c r="D45" s="124">
        <v>34704</v>
      </c>
      <c r="E45" s="124">
        <v>18315</v>
      </c>
      <c r="F45" s="124">
        <v>30242</v>
      </c>
      <c r="G45" s="40"/>
      <c r="H45" s="40"/>
    </row>
    <row r="46" spans="2:8" x14ac:dyDescent="0.45">
      <c r="B46" s="40"/>
      <c r="C46" s="110"/>
      <c r="D46" s="110"/>
      <c r="E46" s="40"/>
      <c r="F46" s="40"/>
      <c r="G46" s="40"/>
      <c r="H46" s="40"/>
    </row>
    <row r="47" spans="2:8" x14ac:dyDescent="0.45">
      <c r="B47" s="40"/>
      <c r="C47" s="40"/>
      <c r="D47" s="40"/>
      <c r="E47" s="40"/>
      <c r="F47" s="40"/>
      <c r="G47" s="40"/>
      <c r="H47" s="40"/>
    </row>
    <row r="48" spans="2:8" x14ac:dyDescent="0.45">
      <c r="B48" s="40"/>
      <c r="C48" s="40"/>
      <c r="D48" s="40"/>
      <c r="E48" s="40"/>
      <c r="F48" s="40"/>
      <c r="G48" s="40"/>
      <c r="H48" s="40"/>
    </row>
    <row r="49" spans="2:8" x14ac:dyDescent="0.45">
      <c r="B49" s="40"/>
      <c r="C49" s="40"/>
      <c r="D49" s="40"/>
      <c r="E49" s="40"/>
      <c r="F49" s="40"/>
      <c r="G49" s="40"/>
      <c r="H49" s="40"/>
    </row>
    <row r="50" spans="2:8" x14ac:dyDescent="0.45">
      <c r="E50" s="40"/>
      <c r="F50" s="40"/>
      <c r="G50" s="40"/>
      <c r="H50" s="40"/>
    </row>
  </sheetData>
  <pageMargins left="0.7" right="0.7" top="0.75" bottom="0.75" header="0.3" footer="0.3"/>
  <pageSetup orientation="portrait" r:id="rId1"/>
  <ignoredErrors>
    <ignoredError sqref="C6:F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355B-E66A-440D-9220-CF9B91980DF2}">
  <dimension ref="B2:J29"/>
  <sheetViews>
    <sheetView showGridLines="0" workbookViewId="0"/>
  </sheetViews>
  <sheetFormatPr defaultColWidth="9" defaultRowHeight="13.8" x14ac:dyDescent="0.45"/>
  <cols>
    <col min="1" max="1" width="4.62890625" style="1" customWidth="1"/>
    <col min="2" max="2" width="33.83984375" style="1" customWidth="1"/>
    <col min="3" max="3" width="11.41796875" style="1" customWidth="1"/>
    <col min="4" max="4" width="4.1015625" style="1" customWidth="1"/>
    <col min="5" max="5" width="12.83984375" style="1" customWidth="1"/>
    <col min="6" max="6" width="4.3125" style="1" customWidth="1"/>
    <col min="7" max="7" width="12.83984375" style="1" customWidth="1"/>
    <col min="8" max="16384" width="9" style="1"/>
  </cols>
  <sheetData>
    <row r="2" spans="2:10" ht="14.1" x14ac:dyDescent="0.5">
      <c r="B2" s="144" t="s">
        <v>122</v>
      </c>
      <c r="C2" s="125"/>
      <c r="D2" s="82"/>
      <c r="E2" s="82"/>
    </row>
    <row r="3" spans="2:10" ht="14.1" x14ac:dyDescent="0.5">
      <c r="B3" s="145" t="s">
        <v>123</v>
      </c>
      <c r="C3" s="126"/>
      <c r="D3" s="126"/>
      <c r="E3" s="82"/>
    </row>
    <row r="4" spans="2:10" x14ac:dyDescent="0.45">
      <c r="B4" s="127" t="s">
        <v>124</v>
      </c>
      <c r="C4" s="125"/>
      <c r="D4" s="82"/>
      <c r="E4" s="82"/>
    </row>
    <row r="5" spans="2:10" ht="14.1" x14ac:dyDescent="0.5">
      <c r="B5" s="126"/>
      <c r="C5" s="128"/>
      <c r="D5" s="82"/>
      <c r="E5" s="129"/>
      <c r="G5" s="128"/>
    </row>
    <row r="6" spans="2:10" ht="28.2" x14ac:dyDescent="0.5">
      <c r="B6" s="126" t="s">
        <v>125</v>
      </c>
      <c r="C6" s="130" t="s">
        <v>126</v>
      </c>
      <c r="D6" s="131"/>
      <c r="E6" s="130" t="s">
        <v>127</v>
      </c>
      <c r="G6" s="130" t="s">
        <v>128</v>
      </c>
    </row>
    <row r="7" spans="2:10" x14ac:dyDescent="0.45">
      <c r="B7" s="132" t="s">
        <v>129</v>
      </c>
      <c r="C7" s="133">
        <v>94151</v>
      </c>
      <c r="D7" s="134"/>
      <c r="E7" s="133">
        <v>106820</v>
      </c>
      <c r="G7" s="133">
        <v>120810</v>
      </c>
    </row>
    <row r="8" spans="2:10" x14ac:dyDescent="0.45">
      <c r="B8" s="132" t="s">
        <v>130</v>
      </c>
      <c r="C8" s="135">
        <v>72944</v>
      </c>
      <c r="D8" s="136"/>
      <c r="E8" s="137">
        <v>87464</v>
      </c>
      <c r="G8" s="135">
        <v>106265</v>
      </c>
      <c r="H8" s="29"/>
      <c r="J8" s="29"/>
    </row>
    <row r="9" spans="2:10" x14ac:dyDescent="0.45">
      <c r="B9" s="132" t="s">
        <v>131</v>
      </c>
      <c r="C9" s="135">
        <v>44820</v>
      </c>
      <c r="D9" s="136"/>
      <c r="E9" s="137">
        <v>50838</v>
      </c>
      <c r="G9" s="135">
        <v>54649</v>
      </c>
    </row>
    <row r="10" spans="2:10" ht="14.1" thickBot="1" x14ac:dyDescent="0.5">
      <c r="B10" s="138" t="s">
        <v>132</v>
      </c>
      <c r="C10" s="139">
        <v>211915</v>
      </c>
      <c r="D10" s="140"/>
      <c r="E10" s="139">
        <v>245122</v>
      </c>
      <c r="G10" s="139">
        <v>281724</v>
      </c>
    </row>
    <row r="11" spans="2:10" ht="14.1" x14ac:dyDescent="0.5">
      <c r="B11" s="82"/>
      <c r="C11" s="141"/>
      <c r="D11" s="141"/>
      <c r="E11" s="142"/>
      <c r="G11" s="141"/>
    </row>
    <row r="12" spans="2:10" x14ac:dyDescent="0.45">
      <c r="B12" s="82"/>
      <c r="C12" s="128"/>
      <c r="D12" s="82"/>
      <c r="E12" s="129"/>
      <c r="G12" s="128"/>
    </row>
    <row r="13" spans="2:10" ht="28.2" x14ac:dyDescent="0.5">
      <c r="B13" s="143" t="s">
        <v>133</v>
      </c>
      <c r="C13" s="130" t="s">
        <v>126</v>
      </c>
      <c r="D13" s="131"/>
      <c r="E13" s="130" t="s">
        <v>127</v>
      </c>
      <c r="G13" s="130" t="s">
        <v>128</v>
      </c>
    </row>
    <row r="14" spans="2:10" x14ac:dyDescent="0.45">
      <c r="B14" s="132" t="s">
        <v>129</v>
      </c>
      <c r="C14" s="133">
        <v>50074</v>
      </c>
      <c r="D14" s="134"/>
      <c r="E14" s="133">
        <v>59661</v>
      </c>
      <c r="G14" s="133">
        <v>69773</v>
      </c>
    </row>
    <row r="15" spans="2:10" x14ac:dyDescent="0.45">
      <c r="B15" s="132" t="s">
        <v>130</v>
      </c>
      <c r="C15" s="135">
        <v>28411</v>
      </c>
      <c r="D15" s="136"/>
      <c r="E15" s="135">
        <v>37813</v>
      </c>
      <c r="G15" s="135">
        <v>44589</v>
      </c>
    </row>
    <row r="16" spans="2:10" x14ac:dyDescent="0.45">
      <c r="B16" s="132" t="s">
        <v>131</v>
      </c>
      <c r="C16" s="135">
        <v>10038</v>
      </c>
      <c r="D16" s="136"/>
      <c r="E16" s="135">
        <v>11959</v>
      </c>
      <c r="G16" s="135">
        <v>14166</v>
      </c>
    </row>
    <row r="17" spans="2:7" ht="14.1" thickBot="1" x14ac:dyDescent="0.5">
      <c r="B17" s="138" t="s">
        <v>132</v>
      </c>
      <c r="C17" s="139">
        <v>88523</v>
      </c>
      <c r="D17" s="140"/>
      <c r="E17" s="139">
        <v>109433</v>
      </c>
      <c r="G17" s="139">
        <v>128528</v>
      </c>
    </row>
    <row r="21" spans="2:7" ht="14.1" x14ac:dyDescent="0.5">
      <c r="B21" s="3" t="s">
        <v>134</v>
      </c>
      <c r="C21" s="3"/>
      <c r="D21" s="3"/>
      <c r="E21" s="3"/>
      <c r="F21" s="3"/>
      <c r="G21" s="3"/>
    </row>
    <row r="22" spans="2:7" x14ac:dyDescent="0.45">
      <c r="B22" s="132" t="s">
        <v>129</v>
      </c>
      <c r="C22" s="32">
        <f>C14/C7</f>
        <v>0.53184777644422254</v>
      </c>
      <c r="E22" s="32">
        <f>E14/E7</f>
        <v>0.55851900393184795</v>
      </c>
      <c r="G22" s="32">
        <f>G14/G7</f>
        <v>0.57754324973098259</v>
      </c>
    </row>
    <row r="23" spans="2:7" x14ac:dyDescent="0.45">
      <c r="B23" s="132" t="s">
        <v>130</v>
      </c>
      <c r="C23" s="32">
        <f>C15/C8</f>
        <v>0.38949056810704102</v>
      </c>
      <c r="E23" s="32">
        <f>E15/E8</f>
        <v>0.43232644287935607</v>
      </c>
      <c r="G23" s="32">
        <f>G15/G8</f>
        <v>0.41960193854985178</v>
      </c>
    </row>
    <row r="24" spans="2:7" x14ac:dyDescent="0.45">
      <c r="B24" s="132" t="s">
        <v>131</v>
      </c>
      <c r="C24" s="32">
        <f>C16/C9</f>
        <v>0.22396251673360107</v>
      </c>
      <c r="E24" s="32">
        <f>E16/E9</f>
        <v>0.23523742082694049</v>
      </c>
      <c r="G24" s="32">
        <f>G16/G9</f>
        <v>0.25921791798569049</v>
      </c>
    </row>
    <row r="25" spans="2:7" x14ac:dyDescent="0.45">
      <c r="B25" s="132"/>
      <c r="C25" s="32"/>
      <c r="E25" s="32"/>
      <c r="G25" s="32"/>
    </row>
    <row r="26" spans="2:7" ht="14.1" x14ac:dyDescent="0.5">
      <c r="B26" s="3" t="s">
        <v>256</v>
      </c>
      <c r="C26" s="3"/>
      <c r="D26" s="3"/>
      <c r="E26" s="3"/>
      <c r="F26" s="3"/>
      <c r="G26" s="3"/>
    </row>
    <row r="27" spans="2:7" x14ac:dyDescent="0.45">
      <c r="B27" s="132" t="s">
        <v>129</v>
      </c>
      <c r="E27" s="32">
        <f>E7/C7-1</f>
        <v>0.13456044014402391</v>
      </c>
      <c r="G27" s="32">
        <f>G7/E7-1</f>
        <v>0.13096798352368477</v>
      </c>
    </row>
    <row r="28" spans="2:7" x14ac:dyDescent="0.45">
      <c r="B28" s="132" t="s">
        <v>130</v>
      </c>
      <c r="E28" s="32">
        <f>E8/C8-1</f>
        <v>0.19905681070410175</v>
      </c>
      <c r="G28" s="32">
        <f>G8/E8-1</f>
        <v>0.21495701088447827</v>
      </c>
    </row>
    <row r="29" spans="2:7" x14ac:dyDescent="0.45">
      <c r="B29" s="132" t="s">
        <v>131</v>
      </c>
      <c r="E29" s="32">
        <f>E9/C9-1</f>
        <v>0.1342704149933065</v>
      </c>
      <c r="G29" s="32">
        <f>G9/E9-1</f>
        <v>7.4963609898107686E-2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3"/>
  <sheetViews>
    <sheetView workbookViewId="0"/>
  </sheetViews>
  <sheetFormatPr defaultColWidth="8.83984375" defaultRowHeight="13.8" x14ac:dyDescent="0.45"/>
  <cols>
    <col min="1" max="1" width="4.15625" style="1" customWidth="1"/>
    <col min="2" max="2" width="49.83984375" style="1" bestFit="1" customWidth="1"/>
    <col min="3" max="4" width="12.68359375" style="1" customWidth="1"/>
    <col min="5" max="6" width="10.20703125" style="1" bestFit="1" customWidth="1"/>
    <col min="7" max="16384" width="8.83984375" style="1"/>
  </cols>
  <sheetData>
    <row r="2" spans="1:6" ht="14.1" x14ac:dyDescent="0.5">
      <c r="B2" s="75" t="s">
        <v>69</v>
      </c>
    </row>
    <row r="3" spans="1:6" ht="14.1" x14ac:dyDescent="0.5">
      <c r="B3" s="12" t="s">
        <v>213</v>
      </c>
    </row>
    <row r="5" spans="1:6" ht="14.1" x14ac:dyDescent="0.5">
      <c r="B5" s="3" t="s">
        <v>110</v>
      </c>
      <c r="C5" s="4">
        <v>2022</v>
      </c>
      <c r="D5" s="4">
        <v>2023</v>
      </c>
      <c r="E5" s="4">
        <v>2024</v>
      </c>
      <c r="F5" s="4">
        <v>2025</v>
      </c>
    </row>
    <row r="6" spans="1:6" x14ac:dyDescent="0.45">
      <c r="B6" s="1" t="s">
        <v>111</v>
      </c>
      <c r="C6" s="13">
        <f>SUM(C7:C8)</f>
        <v>44894</v>
      </c>
      <c r="D6" s="13">
        <f t="shared" ref="D6:F6" si="0">SUM(D7:D8)</f>
        <v>49338</v>
      </c>
      <c r="E6" s="13">
        <f t="shared" si="0"/>
        <v>57754</v>
      </c>
      <c r="F6" s="13">
        <f t="shared" si="0"/>
        <v>70849</v>
      </c>
    </row>
    <row r="7" spans="1:6" x14ac:dyDescent="0.45">
      <c r="B7" s="1" t="s">
        <v>13</v>
      </c>
      <c r="C7" s="13">
        <v>633</v>
      </c>
      <c r="D7" s="13">
        <v>650</v>
      </c>
      <c r="E7" s="13">
        <v>830</v>
      </c>
      <c r="F7" s="13">
        <v>944</v>
      </c>
    </row>
    <row r="8" spans="1:6" x14ac:dyDescent="0.45">
      <c r="B8" s="1" t="s">
        <v>57</v>
      </c>
      <c r="C8" s="13">
        <f>'MSFT - BS'!D12</f>
        <v>44261</v>
      </c>
      <c r="D8" s="13">
        <f>'MSFT - BS'!E12</f>
        <v>48688</v>
      </c>
      <c r="E8" s="13">
        <f>'MSFT - BS'!F12</f>
        <v>56924</v>
      </c>
      <c r="F8" s="13">
        <f>'MSFT - BS'!G12</f>
        <v>69905</v>
      </c>
    </row>
    <row r="9" spans="1:6" x14ac:dyDescent="0.45">
      <c r="B9" s="1" t="s">
        <v>194</v>
      </c>
      <c r="C9" s="35"/>
      <c r="D9" s="35"/>
      <c r="E9" s="13"/>
      <c r="F9" s="13">
        <v>870</v>
      </c>
    </row>
    <row r="10" spans="1:6" x14ac:dyDescent="0.45">
      <c r="C10" s="35"/>
      <c r="D10" s="35"/>
      <c r="E10" s="13"/>
      <c r="F10" s="13"/>
    </row>
    <row r="11" spans="1:6" ht="14.1" x14ac:dyDescent="0.5">
      <c r="A11" s="2" t="s">
        <v>35</v>
      </c>
      <c r="B11" s="1" t="s">
        <v>14</v>
      </c>
      <c r="C11" s="14">
        <f>C7/C6</f>
        <v>1.4099879716665924E-2</v>
      </c>
      <c r="D11" s="14">
        <f>D7/D6</f>
        <v>1.317442944586323E-2</v>
      </c>
      <c r="E11" s="14">
        <f>E7/E6</f>
        <v>1.4371298957647955E-2</v>
      </c>
      <c r="F11" s="14">
        <f>F7/F6</f>
        <v>1.3324111843498144E-2</v>
      </c>
    </row>
    <row r="13" spans="1:6" ht="14.1" x14ac:dyDescent="0.5">
      <c r="A13" s="2" t="s">
        <v>112</v>
      </c>
      <c r="B13" s="1" t="s">
        <v>195</v>
      </c>
      <c r="D13" s="35"/>
      <c r="F13" s="13">
        <f>E7+F9-F7</f>
        <v>756</v>
      </c>
    </row>
  </sheetData>
  <customSheetViews>
    <customSheetView guid="{006B526B-49B3-4332-BE4F-B9DDDA2E0612}">
      <pageMargins left="0.7" right="0.7" top="0.75" bottom="0.75" header="0.3" footer="0.3"/>
    </customSheetView>
    <customSheetView guid="{CACCFC8A-4D84-9149-AC33-04849FD9F7AF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B454-7632-4B23-AE17-D05BCF1EF86F}">
  <dimension ref="A2:D31"/>
  <sheetViews>
    <sheetView workbookViewId="0"/>
  </sheetViews>
  <sheetFormatPr defaultColWidth="8.83984375" defaultRowHeight="13.8" x14ac:dyDescent="0.45"/>
  <cols>
    <col min="1" max="1" width="4.68359375" style="1" customWidth="1"/>
    <col min="2" max="2" width="78" style="1" customWidth="1"/>
    <col min="3" max="3" width="14.1015625" style="1" customWidth="1"/>
    <col min="4" max="4" width="16" style="1" customWidth="1"/>
    <col min="5" max="16384" width="8.83984375" style="1"/>
  </cols>
  <sheetData>
    <row r="2" spans="2:4" ht="14.1" x14ac:dyDescent="0.5">
      <c r="B2" s="12" t="s">
        <v>58</v>
      </c>
    </row>
    <row r="4" spans="2:4" ht="14.1" x14ac:dyDescent="0.45">
      <c r="B4" s="24"/>
      <c r="C4" s="36" t="s">
        <v>68</v>
      </c>
      <c r="D4" s="30" t="s">
        <v>67</v>
      </c>
    </row>
    <row r="5" spans="2:4" x14ac:dyDescent="0.45">
      <c r="B5" s="6" t="s">
        <v>41</v>
      </c>
      <c r="C5" s="7">
        <v>648125</v>
      </c>
      <c r="D5" s="7">
        <v>680985</v>
      </c>
    </row>
    <row r="6" spans="2:4" x14ac:dyDescent="0.45">
      <c r="B6" s="6" t="s">
        <v>21</v>
      </c>
      <c r="C6" s="8">
        <v>490142</v>
      </c>
      <c r="D6" s="8">
        <v>511753</v>
      </c>
    </row>
    <row r="7" spans="2:4" x14ac:dyDescent="0.45">
      <c r="B7" s="6" t="s">
        <v>12</v>
      </c>
      <c r="C7" s="8">
        <f>C5-C6</f>
        <v>157983</v>
      </c>
      <c r="D7" s="8">
        <f>D5-D6</f>
        <v>169232</v>
      </c>
    </row>
    <row r="8" spans="2:4" x14ac:dyDescent="0.45">
      <c r="B8" s="6" t="s">
        <v>42</v>
      </c>
      <c r="C8" s="8">
        <v>130971</v>
      </c>
      <c r="D8" s="8">
        <v>139884</v>
      </c>
    </row>
    <row r="9" spans="2:4" x14ac:dyDescent="0.45">
      <c r="B9" s="6" t="s">
        <v>17</v>
      </c>
      <c r="C9" s="8">
        <v>27012</v>
      </c>
      <c r="D9" s="8">
        <v>29348</v>
      </c>
    </row>
    <row r="10" spans="2:4" x14ac:dyDescent="0.45">
      <c r="B10" s="6" t="s">
        <v>43</v>
      </c>
      <c r="C10" s="7">
        <v>16270</v>
      </c>
      <c r="D10" s="7">
        <v>20157</v>
      </c>
    </row>
    <row r="12" spans="2:4" ht="14.1" x14ac:dyDescent="0.5">
      <c r="B12" s="12" t="s">
        <v>59</v>
      </c>
    </row>
    <row r="14" spans="2:4" ht="14.4" x14ac:dyDescent="0.45">
      <c r="B14" s="6" t="s">
        <v>7</v>
      </c>
      <c r="C14" s="34" t="s">
        <v>40</v>
      </c>
      <c r="D14" s="34" t="s">
        <v>40</v>
      </c>
    </row>
    <row r="15" spans="2:4" x14ac:dyDescent="0.45">
      <c r="B15" s="6" t="s">
        <v>44</v>
      </c>
      <c r="C15" s="8">
        <v>9867</v>
      </c>
      <c r="D15" s="8">
        <v>9037</v>
      </c>
    </row>
    <row r="16" spans="2:4" x14ac:dyDescent="0.45">
      <c r="B16" s="6" t="s">
        <v>45</v>
      </c>
      <c r="C16" s="8">
        <v>8796</v>
      </c>
      <c r="D16" s="8">
        <v>9975</v>
      </c>
    </row>
    <row r="17" spans="1:4" x14ac:dyDescent="0.45">
      <c r="B17" s="6" t="s">
        <v>5</v>
      </c>
      <c r="C17" s="8">
        <v>54892</v>
      </c>
      <c r="D17" s="8">
        <v>56435</v>
      </c>
    </row>
    <row r="18" spans="1:4" x14ac:dyDescent="0.45">
      <c r="B18" s="6" t="s">
        <v>4</v>
      </c>
      <c r="C18" s="8">
        <v>76877</v>
      </c>
      <c r="D18" s="8">
        <v>79458</v>
      </c>
    </row>
    <row r="19" spans="1:4" x14ac:dyDescent="0.45">
      <c r="B19" s="6"/>
      <c r="C19" s="8"/>
      <c r="D19" s="8"/>
    </row>
    <row r="20" spans="1:4" x14ac:dyDescent="0.45">
      <c r="B20" s="6" t="s">
        <v>2</v>
      </c>
      <c r="C20" s="8" t="s">
        <v>40</v>
      </c>
      <c r="D20" s="8" t="s">
        <v>40</v>
      </c>
    </row>
    <row r="21" spans="1:4" x14ac:dyDescent="0.45">
      <c r="B21" s="6" t="s">
        <v>46</v>
      </c>
      <c r="C21" s="8">
        <v>878</v>
      </c>
      <c r="D21" s="8">
        <v>3068</v>
      </c>
    </row>
    <row r="22" spans="1:4" x14ac:dyDescent="0.45">
      <c r="B22" s="6" t="s">
        <v>1</v>
      </c>
      <c r="C22" s="8">
        <v>56812</v>
      </c>
      <c r="D22" s="8">
        <v>58666</v>
      </c>
    </row>
    <row r="23" spans="1:4" x14ac:dyDescent="0.45">
      <c r="B23" s="6" t="s">
        <v>0</v>
      </c>
      <c r="C23" s="8">
        <v>92415</v>
      </c>
      <c r="D23" s="8">
        <v>96584</v>
      </c>
    </row>
    <row r="24" spans="1:4" x14ac:dyDescent="0.45">
      <c r="B24" s="6" t="s">
        <v>61</v>
      </c>
      <c r="C24" s="8">
        <v>162050</v>
      </c>
      <c r="D24" s="1">
        <v>163402</v>
      </c>
    </row>
    <row r="25" spans="1:4" x14ac:dyDescent="0.45">
      <c r="B25" s="6" t="s">
        <v>62</v>
      </c>
      <c r="C25" s="8">
        <v>90349</v>
      </c>
      <c r="D25" s="1">
        <v>97421</v>
      </c>
    </row>
    <row r="27" spans="1:4" ht="14.1" thickBot="1" x14ac:dyDescent="0.5"/>
    <row r="28" spans="1:4" ht="14.1" x14ac:dyDescent="0.5">
      <c r="A28" s="2" t="s">
        <v>37</v>
      </c>
      <c r="B28" s="9" t="s">
        <v>18</v>
      </c>
      <c r="C28" s="15"/>
      <c r="D28" s="16">
        <f>AVERAGE(C16:D16)/(D5/365)</f>
        <v>5.0305182933544792</v>
      </c>
    </row>
    <row r="29" spans="1:4" ht="14.1" x14ac:dyDescent="0.5">
      <c r="B29" s="10" t="s">
        <v>19</v>
      </c>
      <c r="C29" s="17"/>
      <c r="D29" s="18">
        <f>AVERAGE(C17:D17)/(D6/365)</f>
        <v>39.701140003087424</v>
      </c>
    </row>
    <row r="30" spans="1:4" ht="14.1" x14ac:dyDescent="0.5">
      <c r="B30" s="19" t="s">
        <v>20</v>
      </c>
      <c r="C30" s="20"/>
      <c r="D30" s="21">
        <f>AVERAGE(C22:D22)/(D6/365)</f>
        <v>41.181458633364144</v>
      </c>
    </row>
    <row r="31" spans="1:4" ht="14.4" thickBot="1" x14ac:dyDescent="0.55000000000000004">
      <c r="B31" s="11" t="s">
        <v>34</v>
      </c>
      <c r="C31" s="22"/>
      <c r="D31" s="23">
        <f>D28+D29-D30</f>
        <v>3.5501996630777626</v>
      </c>
    </row>
  </sheetData>
  <customSheetViews>
    <customSheetView guid="{006B526B-49B3-4332-BE4F-B9DDDA2E0612}">
      <pageMargins left="0.75" right="0.75" top="1" bottom="1" header="0.5" footer="0.5"/>
    </customSheetView>
    <customSheetView guid="{CACCFC8A-4D84-9149-AC33-04849FD9F7AF}">
      <pageMargins left="0.75" right="0.75" top="1" bottom="1" header="0.5" footer="0.5"/>
    </customSheetView>
  </customSheetView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4D8F-47D5-4ED7-958C-3C11D40E0434}">
  <dimension ref="A2:D30"/>
  <sheetViews>
    <sheetView workbookViewId="0"/>
  </sheetViews>
  <sheetFormatPr defaultColWidth="8.83984375" defaultRowHeight="13.8" x14ac:dyDescent="0.45"/>
  <cols>
    <col min="1" max="1" width="4.15625" style="1" customWidth="1"/>
    <col min="2" max="2" width="74.15625" style="1" customWidth="1"/>
    <col min="3" max="4" width="16.3125" style="1" bestFit="1" customWidth="1"/>
    <col min="5" max="16384" width="8.83984375" style="1"/>
  </cols>
  <sheetData>
    <row r="2" spans="2:4" ht="14.1" x14ac:dyDescent="0.5">
      <c r="B2" s="12" t="s">
        <v>60</v>
      </c>
    </row>
    <row r="4" spans="2:4" ht="14.4" customHeight="1" x14ac:dyDescent="0.45">
      <c r="B4" s="24"/>
      <c r="C4" s="30" t="s">
        <v>66</v>
      </c>
      <c r="D4" s="30" t="s">
        <v>65</v>
      </c>
    </row>
    <row r="5" spans="2:4" x14ac:dyDescent="0.45">
      <c r="B5" s="6" t="s">
        <v>51</v>
      </c>
      <c r="C5" s="8">
        <v>107412</v>
      </c>
      <c r="D5" s="8">
        <v>106566</v>
      </c>
    </row>
    <row r="6" spans="2:4" x14ac:dyDescent="0.45">
      <c r="B6" s="6" t="s">
        <v>50</v>
      </c>
      <c r="C6" s="8">
        <v>77828</v>
      </c>
      <c r="D6" s="8">
        <v>76502</v>
      </c>
    </row>
    <row r="7" spans="2:4" x14ac:dyDescent="0.45">
      <c r="B7" s="6" t="s">
        <v>63</v>
      </c>
      <c r="C7" s="8">
        <v>21462</v>
      </c>
      <c r="D7" s="8">
        <v>21969</v>
      </c>
    </row>
    <row r="8" spans="2:4" x14ac:dyDescent="0.45">
      <c r="B8" s="6" t="s">
        <v>49</v>
      </c>
      <c r="C8" s="8">
        <v>5707</v>
      </c>
      <c r="D8" s="8">
        <v>5566</v>
      </c>
    </row>
    <row r="9" spans="2:4" x14ac:dyDescent="0.45">
      <c r="B9" s="6" t="s">
        <v>47</v>
      </c>
      <c r="C9" s="8">
        <v>4138</v>
      </c>
      <c r="D9" s="8">
        <v>4091</v>
      </c>
    </row>
    <row r="11" spans="2:4" ht="14.1" x14ac:dyDescent="0.5">
      <c r="B11" s="12" t="s">
        <v>255</v>
      </c>
    </row>
    <row r="13" spans="2:4" ht="14.1" x14ac:dyDescent="0.45">
      <c r="B13" s="5" t="s">
        <v>52</v>
      </c>
      <c r="C13" s="6" t="s">
        <v>40</v>
      </c>
      <c r="D13" s="6" t="s">
        <v>40</v>
      </c>
    </row>
    <row r="14" spans="2:4" x14ac:dyDescent="0.45">
      <c r="B14" s="6" t="s">
        <v>6</v>
      </c>
      <c r="C14" s="8">
        <v>3805</v>
      </c>
      <c r="D14" s="8">
        <v>4762</v>
      </c>
    </row>
    <row r="15" spans="2:4" x14ac:dyDescent="0.45">
      <c r="B15" s="6" t="s">
        <v>45</v>
      </c>
      <c r="C15" s="8">
        <v>891</v>
      </c>
      <c r="D15" s="8">
        <v>998</v>
      </c>
    </row>
    <row r="16" spans="2:4" x14ac:dyDescent="0.45">
      <c r="B16" s="6" t="s">
        <v>5</v>
      </c>
      <c r="C16" s="8">
        <v>11886</v>
      </c>
      <c r="D16" s="8">
        <v>12740</v>
      </c>
    </row>
    <row r="17" spans="1:4" x14ac:dyDescent="0.45">
      <c r="B17" s="6" t="s">
        <v>64</v>
      </c>
      <c r="C17" s="8">
        <v>1807</v>
      </c>
      <c r="D17" s="8">
        <v>1952</v>
      </c>
    </row>
    <row r="18" spans="1:4" x14ac:dyDescent="0.45">
      <c r="B18" s="6" t="s">
        <v>4</v>
      </c>
      <c r="C18" s="8">
        <v>17498</v>
      </c>
      <c r="D18" s="8">
        <v>19454</v>
      </c>
    </row>
    <row r="19" spans="1:4" x14ac:dyDescent="0.45">
      <c r="B19" s="6"/>
      <c r="C19" s="8"/>
      <c r="D19" s="8"/>
    </row>
    <row r="20" spans="1:4" ht="14.1" x14ac:dyDescent="0.45">
      <c r="B20" s="5" t="s">
        <v>36</v>
      </c>
      <c r="C20" s="8" t="s">
        <v>40</v>
      </c>
      <c r="D20" s="8" t="s">
        <v>40</v>
      </c>
    </row>
    <row r="21" spans="1:4" x14ac:dyDescent="0.45">
      <c r="B21" s="6" t="s">
        <v>1</v>
      </c>
      <c r="C21" s="8">
        <v>12098</v>
      </c>
      <c r="D21" s="8">
        <v>13053</v>
      </c>
    </row>
    <row r="22" spans="1:4" x14ac:dyDescent="0.45">
      <c r="B22" s="6" t="s">
        <v>0</v>
      </c>
      <c r="C22" s="8">
        <v>19304</v>
      </c>
      <c r="D22" s="8">
        <v>20799</v>
      </c>
    </row>
    <row r="23" spans="1:4" x14ac:dyDescent="0.45">
      <c r="B23" s="6" t="s">
        <v>61</v>
      </c>
      <c r="C23" s="8">
        <v>41924</v>
      </c>
      <c r="D23" s="8">
        <v>43103</v>
      </c>
    </row>
    <row r="24" spans="1:4" x14ac:dyDescent="0.45">
      <c r="B24" s="6" t="s">
        <v>62</v>
      </c>
      <c r="C24" s="8">
        <v>13432</v>
      </c>
      <c r="D24" s="8">
        <v>14666</v>
      </c>
    </row>
    <row r="25" spans="1:4" x14ac:dyDescent="0.45">
      <c r="C25" s="8"/>
      <c r="D25" s="8"/>
    </row>
    <row r="26" spans="1:4" ht="14.1" thickBot="1" x14ac:dyDescent="0.5"/>
    <row r="27" spans="1:4" ht="14.1" x14ac:dyDescent="0.5">
      <c r="A27" s="2" t="s">
        <v>37</v>
      </c>
      <c r="B27" s="9" t="s">
        <v>18</v>
      </c>
      <c r="C27" s="15"/>
      <c r="D27" s="16">
        <f>AVERAGE(C15:D15)/(D5/365)</f>
        <v>3.2350139819454613</v>
      </c>
    </row>
    <row r="28" spans="1:4" ht="14.1" x14ac:dyDescent="0.5">
      <c r="B28" s="10" t="s">
        <v>19</v>
      </c>
      <c r="C28" s="17"/>
      <c r="D28" s="18">
        <f>AVERAGE(C16:D16)/(D6/365)</f>
        <v>58.746764790462997</v>
      </c>
    </row>
    <row r="29" spans="1:4" ht="14.1" x14ac:dyDescent="0.5">
      <c r="B29" s="19" t="s">
        <v>20</v>
      </c>
      <c r="C29" s="20"/>
      <c r="D29" s="21">
        <f>AVERAGE(C21:D21)/(D6/365)</f>
        <v>59.999183027894702</v>
      </c>
    </row>
    <row r="30" spans="1:4" ht="14.4" thickBot="1" x14ac:dyDescent="0.55000000000000004">
      <c r="B30" s="11" t="s">
        <v>34</v>
      </c>
      <c r="C30" s="22"/>
      <c r="D30" s="23">
        <f>D27+D28-D29</f>
        <v>1.982595744513759</v>
      </c>
    </row>
  </sheetData>
  <customSheetViews>
    <customSheetView guid="{006B526B-49B3-4332-BE4F-B9DDDA2E0612}">
      <pageMargins left="0.75" right="0.75" top="1" bottom="1" header="0.5" footer="0.5"/>
    </customSheetView>
    <customSheetView guid="{CACCFC8A-4D84-9149-AC33-04849FD9F7AF}">
      <pageMargins left="0.75" right="0.75" top="1" bottom="1" header="0.5" footer="0.5"/>
    </customSheetView>
  </customSheetView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36"/>
  <sheetViews>
    <sheetView workbookViewId="0"/>
  </sheetViews>
  <sheetFormatPr defaultColWidth="8.83984375" defaultRowHeight="13.8" x14ac:dyDescent="0.45"/>
  <cols>
    <col min="1" max="1" width="5.68359375" style="1" customWidth="1"/>
    <col min="2" max="2" width="41.47265625" style="1" bestFit="1" customWidth="1"/>
    <col min="3" max="3" width="11.3125" style="1" bestFit="1" customWidth="1"/>
    <col min="4" max="5" width="8.83984375" style="1"/>
    <col min="6" max="6" width="11.3125" style="1" bestFit="1" customWidth="1"/>
    <col min="7" max="16384" width="8.83984375" style="1"/>
  </cols>
  <sheetData>
    <row r="2" spans="1:6" ht="14.1" x14ac:dyDescent="0.5">
      <c r="B2" s="75" t="s">
        <v>69</v>
      </c>
    </row>
    <row r="3" spans="1:6" ht="14.1" x14ac:dyDescent="0.5">
      <c r="B3" s="12" t="s">
        <v>113</v>
      </c>
    </row>
    <row r="5" spans="1:6" x14ac:dyDescent="0.45">
      <c r="B5" s="1" t="s">
        <v>114</v>
      </c>
      <c r="C5" s="37">
        <v>60000</v>
      </c>
      <c r="F5" s="29"/>
    </row>
    <row r="6" spans="1:6" x14ac:dyDescent="0.45">
      <c r="F6" s="29"/>
    </row>
    <row r="7" spans="1:6" x14ac:dyDescent="0.45">
      <c r="B7" s="1" t="s">
        <v>115</v>
      </c>
      <c r="C7" s="1">
        <v>6</v>
      </c>
    </row>
    <row r="8" spans="1:6" x14ac:dyDescent="0.45">
      <c r="B8" s="1" t="s">
        <v>116</v>
      </c>
      <c r="C8" s="1">
        <v>3</v>
      </c>
    </row>
    <row r="9" spans="1:6" x14ac:dyDescent="0.45">
      <c r="B9" s="1" t="s">
        <v>117</v>
      </c>
      <c r="C9" s="1">
        <v>6</v>
      </c>
    </row>
    <row r="10" spans="1:6" x14ac:dyDescent="0.45">
      <c r="B10" s="1" t="s">
        <v>202</v>
      </c>
      <c r="C10" s="38">
        <v>0.21</v>
      </c>
    </row>
    <row r="11" spans="1:6" x14ac:dyDescent="0.45">
      <c r="B11" s="1" t="s">
        <v>203</v>
      </c>
      <c r="C11" s="1">
        <v>2</v>
      </c>
    </row>
    <row r="12" spans="1:6" x14ac:dyDescent="0.45">
      <c r="B12" s="1" t="s">
        <v>215</v>
      </c>
      <c r="C12" s="37">
        <v>20000</v>
      </c>
    </row>
    <row r="13" spans="1:6" x14ac:dyDescent="0.45">
      <c r="C13" s="25"/>
    </row>
    <row r="14" spans="1:6" ht="14.1" x14ac:dyDescent="0.5">
      <c r="A14" s="2" t="s">
        <v>38</v>
      </c>
      <c r="B14" s="1" t="s">
        <v>118</v>
      </c>
      <c r="C14" s="37">
        <f>C5/C7</f>
        <v>10000</v>
      </c>
    </row>
    <row r="15" spans="1:6" x14ac:dyDescent="0.45">
      <c r="B15" s="1" t="s">
        <v>119</v>
      </c>
      <c r="C15" s="37">
        <f>C5/C8</f>
        <v>20000</v>
      </c>
    </row>
    <row r="16" spans="1:6" x14ac:dyDescent="0.45">
      <c r="B16" s="1" t="s">
        <v>120</v>
      </c>
      <c r="C16" s="37">
        <f>C5*2/C9</f>
        <v>20000</v>
      </c>
    </row>
    <row r="18" spans="1:3" ht="14.1" x14ac:dyDescent="0.5">
      <c r="A18" s="2" t="s">
        <v>196</v>
      </c>
      <c r="B18" s="1" t="s">
        <v>197</v>
      </c>
      <c r="C18" s="13">
        <f>'MSFT - IS'!H20</f>
        <v>128528</v>
      </c>
    </row>
    <row r="19" spans="1:3" x14ac:dyDescent="0.45">
      <c r="B19" s="1" t="s">
        <v>198</v>
      </c>
      <c r="C19" s="37">
        <f>C15-C14</f>
        <v>10000</v>
      </c>
    </row>
    <row r="20" spans="1:3" x14ac:dyDescent="0.45">
      <c r="B20" s="1" t="s">
        <v>199</v>
      </c>
      <c r="C20" s="31">
        <f>C19/C18</f>
        <v>7.7804058259678829E-2</v>
      </c>
    </row>
    <row r="23" spans="1:3" ht="14.1" x14ac:dyDescent="0.5">
      <c r="A23" s="2" t="s">
        <v>39</v>
      </c>
      <c r="B23" s="3" t="s">
        <v>214</v>
      </c>
      <c r="C23" s="3"/>
    </row>
    <row r="24" spans="1:3" ht="14.1" x14ac:dyDescent="0.5">
      <c r="A24" s="2"/>
      <c r="B24" s="153" t="s">
        <v>216</v>
      </c>
      <c r="C24" s="153"/>
    </row>
    <row r="25" spans="1:3" x14ac:dyDescent="0.45">
      <c r="B25" s="1" t="s">
        <v>121</v>
      </c>
      <c r="C25" s="25">
        <f>C12</f>
        <v>20000</v>
      </c>
    </row>
    <row r="26" spans="1:3" x14ac:dyDescent="0.45">
      <c r="B26" s="1" t="s">
        <v>200</v>
      </c>
      <c r="C26" s="25">
        <f>C5-C11*C14</f>
        <v>40000</v>
      </c>
    </row>
    <row r="27" spans="1:3" x14ac:dyDescent="0.45">
      <c r="B27" s="1" t="s">
        <v>201</v>
      </c>
      <c r="C27" s="25">
        <f>C25-C26</f>
        <v>-20000</v>
      </c>
    </row>
    <row r="28" spans="1:3" x14ac:dyDescent="0.45">
      <c r="B28" s="26" t="s">
        <v>204</v>
      </c>
      <c r="C28" s="27">
        <f>C10*C27</f>
        <v>-4200</v>
      </c>
    </row>
    <row r="29" spans="1:3" ht="14.1" x14ac:dyDescent="0.5">
      <c r="B29" s="2" t="s">
        <v>22</v>
      </c>
      <c r="C29" s="28">
        <f>C25-C28</f>
        <v>24200</v>
      </c>
    </row>
    <row r="30" spans="1:3" ht="14.1" x14ac:dyDescent="0.5">
      <c r="B30" s="2"/>
      <c r="C30" s="28"/>
    </row>
    <row r="31" spans="1:3" ht="14.1" x14ac:dyDescent="0.5">
      <c r="B31" s="3" t="s">
        <v>217</v>
      </c>
      <c r="C31" s="3"/>
    </row>
    <row r="32" spans="1:3" x14ac:dyDescent="0.45">
      <c r="B32" s="1" t="s">
        <v>121</v>
      </c>
      <c r="C32" s="25">
        <f>C12</f>
        <v>20000</v>
      </c>
    </row>
    <row r="33" spans="2:3" x14ac:dyDescent="0.45">
      <c r="B33" s="1" t="s">
        <v>200</v>
      </c>
      <c r="C33" s="25">
        <f>C5-C11*C15</f>
        <v>20000</v>
      </c>
    </row>
    <row r="34" spans="2:3" x14ac:dyDescent="0.45">
      <c r="B34" s="1" t="s">
        <v>201</v>
      </c>
      <c r="C34" s="25">
        <f>C32-C33</f>
        <v>0</v>
      </c>
    </row>
    <row r="35" spans="2:3" x14ac:dyDescent="0.45">
      <c r="B35" s="26" t="s">
        <v>204</v>
      </c>
      <c r="C35" s="27">
        <f>C17*C34</f>
        <v>0</v>
      </c>
    </row>
    <row r="36" spans="2:3" ht="14.1" x14ac:dyDescent="0.5">
      <c r="B36" s="2" t="s">
        <v>22</v>
      </c>
      <c r="C36" s="28">
        <f>C32-C35</f>
        <v>20000</v>
      </c>
    </row>
  </sheetData>
  <customSheetViews>
    <customSheetView guid="{006B526B-49B3-4332-BE4F-B9DDDA2E0612}">
      <pageMargins left="0.7" right="0.7" top="0.75" bottom="0.75" header="0.3" footer="0.3"/>
    </customSheetView>
    <customSheetView guid="{CACCFC8A-4D84-9149-AC33-04849FD9F7AF}">
      <pageMargins left="0.7" right="0.7" top="0.75" bottom="0.75" header="0.3" footer="0.3"/>
    </customSheetView>
  </customSheetViews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66C8-AFEB-4317-BF93-CC11E726C937}">
  <dimension ref="B2:I63"/>
  <sheetViews>
    <sheetView showGridLines="0" zoomScaleNormal="100" workbookViewId="0"/>
  </sheetViews>
  <sheetFormatPr defaultColWidth="9" defaultRowHeight="13.8" x14ac:dyDescent="0.45"/>
  <cols>
    <col min="1" max="1" width="3.734375" style="1" customWidth="1"/>
    <col min="2" max="2" width="56" style="1" customWidth="1"/>
    <col min="3" max="3" width="0.41796875" style="74" hidden="1" customWidth="1"/>
    <col min="4" max="6" width="12.578125" style="74" customWidth="1"/>
    <col min="7" max="7" width="13" style="74" customWidth="1"/>
    <col min="8" max="8" width="9" style="1"/>
    <col min="9" max="9" width="15" style="1" customWidth="1"/>
    <col min="10" max="16384" width="9" style="1"/>
  </cols>
  <sheetData>
    <row r="2" spans="2:9" ht="14.1" x14ac:dyDescent="0.5">
      <c r="B2" s="75" t="s">
        <v>69</v>
      </c>
      <c r="C2" s="39"/>
      <c r="D2" s="39"/>
      <c r="E2" s="39"/>
      <c r="F2" s="39"/>
      <c r="G2" s="39"/>
      <c r="H2" s="40"/>
      <c r="I2" s="41"/>
    </row>
    <row r="3" spans="2:9" x14ac:dyDescent="0.45">
      <c r="B3" s="146" t="s">
        <v>70</v>
      </c>
      <c r="C3" s="42"/>
      <c r="D3" s="42"/>
      <c r="E3" s="42"/>
      <c r="F3" s="42"/>
      <c r="G3" s="42"/>
      <c r="H3" s="40"/>
      <c r="I3" s="40"/>
    </row>
    <row r="4" spans="2:9" x14ac:dyDescent="0.45">
      <c r="B4" s="43"/>
      <c r="C4" s="43"/>
      <c r="D4" s="43"/>
      <c r="E4" s="43"/>
      <c r="F4" s="43"/>
      <c r="G4" s="43"/>
      <c r="H4" s="40"/>
      <c r="I4" s="40"/>
    </row>
    <row r="5" spans="2:9" ht="28.2" x14ac:dyDescent="0.5">
      <c r="B5" s="147"/>
      <c r="C5" s="148"/>
      <c r="D5" s="148" t="s">
        <v>72</v>
      </c>
      <c r="E5" s="148" t="s">
        <v>73</v>
      </c>
      <c r="F5" s="148" t="s">
        <v>74</v>
      </c>
      <c r="G5" s="148" t="s">
        <v>75</v>
      </c>
      <c r="H5" s="40"/>
      <c r="I5" s="40"/>
    </row>
    <row r="6" spans="2:9" x14ac:dyDescent="0.45">
      <c r="B6" s="44" t="s">
        <v>76</v>
      </c>
      <c r="C6" s="45"/>
      <c r="D6" s="45"/>
      <c r="E6" s="45"/>
      <c r="F6" s="46"/>
      <c r="G6" s="45"/>
      <c r="H6" s="40"/>
      <c r="I6" s="40"/>
    </row>
    <row r="7" spans="2:9" x14ac:dyDescent="0.45">
      <c r="B7" s="44" t="s">
        <v>7</v>
      </c>
      <c r="C7" s="46"/>
      <c r="D7" s="46"/>
      <c r="E7" s="46"/>
      <c r="F7" s="46"/>
      <c r="G7" s="46"/>
      <c r="H7" s="40"/>
      <c r="I7" s="40"/>
    </row>
    <row r="8" spans="2:9" x14ac:dyDescent="0.45">
      <c r="B8" s="47" t="s">
        <v>77</v>
      </c>
      <c r="C8" s="48"/>
      <c r="D8" s="49">
        <v>13931</v>
      </c>
      <c r="E8" s="49">
        <v>34704</v>
      </c>
      <c r="F8" s="48">
        <v>18315</v>
      </c>
      <c r="G8" s="48">
        <v>30242</v>
      </c>
      <c r="H8" s="40"/>
      <c r="I8" s="40"/>
    </row>
    <row r="9" spans="2:9" x14ac:dyDescent="0.45">
      <c r="B9" s="50" t="s">
        <v>78</v>
      </c>
      <c r="C9" s="51"/>
      <c r="D9" s="52">
        <v>90826</v>
      </c>
      <c r="E9" s="52">
        <v>76558</v>
      </c>
      <c r="F9" s="51">
        <v>57228</v>
      </c>
      <c r="G9" s="51">
        <v>64323</v>
      </c>
      <c r="H9" s="40"/>
      <c r="I9" s="40"/>
    </row>
    <row r="10" spans="2:9" x14ac:dyDescent="0.45">
      <c r="B10" s="53" t="s">
        <v>79</v>
      </c>
      <c r="C10" s="54"/>
      <c r="D10" s="55">
        <v>104757</v>
      </c>
      <c r="E10" s="55">
        <v>111262</v>
      </c>
      <c r="F10" s="54">
        <v>75543</v>
      </c>
      <c r="G10" s="54">
        <v>94565</v>
      </c>
      <c r="H10" s="40"/>
      <c r="I10" s="40"/>
    </row>
    <row r="11" spans="2:9" ht="15.6" customHeight="1" x14ac:dyDescent="0.45">
      <c r="B11" s="56" t="s">
        <v>80</v>
      </c>
      <c r="C11" s="54"/>
      <c r="D11" s="55">
        <v>44261</v>
      </c>
      <c r="E11" s="55">
        <v>48688</v>
      </c>
      <c r="F11" s="54">
        <v>56924</v>
      </c>
      <c r="G11" s="54">
        <v>69905</v>
      </c>
      <c r="H11" s="40"/>
      <c r="I11" s="40"/>
    </row>
    <row r="12" spans="2:9" x14ac:dyDescent="0.45">
      <c r="B12" s="47" t="s">
        <v>81</v>
      </c>
      <c r="C12" s="46"/>
      <c r="D12" s="55">
        <v>3742</v>
      </c>
      <c r="E12" s="55">
        <v>2500</v>
      </c>
      <c r="F12" s="46">
        <v>1246</v>
      </c>
      <c r="G12" s="46">
        <v>938</v>
      </c>
      <c r="H12" s="40"/>
      <c r="I12" s="40"/>
    </row>
    <row r="13" spans="2:9" x14ac:dyDescent="0.45">
      <c r="B13" s="57" t="s">
        <v>82</v>
      </c>
      <c r="C13" s="58"/>
      <c r="D13" s="52">
        <v>16924</v>
      </c>
      <c r="E13" s="52">
        <v>21807</v>
      </c>
      <c r="F13" s="58">
        <v>26021</v>
      </c>
      <c r="G13" s="58">
        <v>25723</v>
      </c>
      <c r="H13" s="40"/>
      <c r="I13" s="40"/>
    </row>
    <row r="14" spans="2:9" x14ac:dyDescent="0.45">
      <c r="B14" s="47" t="s">
        <v>83</v>
      </c>
      <c r="C14" s="54"/>
      <c r="D14" s="55">
        <v>169684</v>
      </c>
      <c r="E14" s="55">
        <v>184257</v>
      </c>
      <c r="F14" s="54">
        <v>159734</v>
      </c>
      <c r="G14" s="54">
        <v>191131</v>
      </c>
      <c r="H14" s="40"/>
      <c r="I14" s="40"/>
    </row>
    <row r="15" spans="2:9" ht="27.6" x14ac:dyDescent="0.45">
      <c r="B15" s="59" t="s">
        <v>84</v>
      </c>
      <c r="C15" s="46"/>
      <c r="D15" s="55">
        <v>74398</v>
      </c>
      <c r="E15" s="55">
        <v>95641</v>
      </c>
      <c r="F15" s="46">
        <v>135591</v>
      </c>
      <c r="G15" s="46">
        <v>204966</v>
      </c>
      <c r="H15" s="40"/>
      <c r="I15" s="40"/>
    </row>
    <row r="16" spans="2:9" x14ac:dyDescent="0.45">
      <c r="B16" s="59" t="s">
        <v>85</v>
      </c>
      <c r="C16" s="46"/>
      <c r="D16" s="55">
        <v>13148</v>
      </c>
      <c r="E16" s="55">
        <v>14346</v>
      </c>
      <c r="F16" s="46">
        <v>18961</v>
      </c>
      <c r="G16" s="46">
        <v>24823</v>
      </c>
      <c r="H16" s="40"/>
      <c r="I16" s="40"/>
    </row>
    <row r="17" spans="2:9" x14ac:dyDescent="0.45">
      <c r="B17" s="44" t="s">
        <v>86</v>
      </c>
      <c r="C17" s="46"/>
      <c r="D17" s="55">
        <v>6891</v>
      </c>
      <c r="E17" s="55">
        <v>9879</v>
      </c>
      <c r="F17" s="46">
        <v>14600</v>
      </c>
      <c r="G17" s="46">
        <v>15405</v>
      </c>
      <c r="H17" s="40"/>
      <c r="I17" s="40"/>
    </row>
    <row r="18" spans="2:9" x14ac:dyDescent="0.45">
      <c r="B18" s="44" t="s">
        <v>3</v>
      </c>
      <c r="C18" s="46"/>
      <c r="D18" s="55">
        <v>67524</v>
      </c>
      <c r="E18" s="55">
        <v>67886</v>
      </c>
      <c r="F18" s="46">
        <v>119220</v>
      </c>
      <c r="G18" s="46">
        <v>119509</v>
      </c>
      <c r="H18" s="40"/>
      <c r="I18" s="40"/>
    </row>
    <row r="19" spans="2:9" x14ac:dyDescent="0.45">
      <c r="B19" s="44" t="s">
        <v>87</v>
      </c>
      <c r="C19" s="46"/>
      <c r="D19" s="55">
        <v>11298</v>
      </c>
      <c r="E19" s="55">
        <v>9366</v>
      </c>
      <c r="F19" s="46">
        <v>27597</v>
      </c>
      <c r="G19" s="46">
        <v>22604</v>
      </c>
      <c r="H19" s="40"/>
      <c r="I19" s="40"/>
    </row>
    <row r="20" spans="2:9" x14ac:dyDescent="0.45">
      <c r="B20" s="60" t="s">
        <v>88</v>
      </c>
      <c r="C20" s="58"/>
      <c r="D20" s="52">
        <v>21897</v>
      </c>
      <c r="E20" s="52">
        <v>30601</v>
      </c>
      <c r="F20" s="58">
        <v>36460</v>
      </c>
      <c r="G20" s="58">
        <v>40565</v>
      </c>
      <c r="H20" s="40"/>
      <c r="I20" s="40"/>
    </row>
    <row r="21" spans="2:9" ht="14.1" thickBot="1" x14ac:dyDescent="0.5">
      <c r="B21" s="47" t="s">
        <v>89</v>
      </c>
      <c r="C21" s="61"/>
      <c r="D21" s="62">
        <v>364840</v>
      </c>
      <c r="E21" s="62">
        <v>411976</v>
      </c>
      <c r="F21" s="61">
        <v>512163</v>
      </c>
      <c r="G21" s="61">
        <v>619003</v>
      </c>
      <c r="H21" s="40"/>
      <c r="I21" s="40"/>
    </row>
    <row r="22" spans="2:9" x14ac:dyDescent="0.45">
      <c r="B22" s="44" t="s">
        <v>90</v>
      </c>
      <c r="C22" s="63"/>
      <c r="D22" s="63"/>
      <c r="E22" s="63"/>
      <c r="F22" s="63"/>
      <c r="G22" s="63"/>
      <c r="H22" s="40"/>
      <c r="I22" s="40"/>
    </row>
    <row r="23" spans="2:9" x14ac:dyDescent="0.45">
      <c r="B23" s="44" t="s">
        <v>2</v>
      </c>
      <c r="C23" s="63"/>
      <c r="D23" s="63"/>
      <c r="E23" s="63"/>
      <c r="F23" s="63"/>
      <c r="G23" s="63"/>
      <c r="H23" s="40"/>
      <c r="I23" s="40"/>
    </row>
    <row r="24" spans="2:9" x14ac:dyDescent="0.45">
      <c r="B24" s="47" t="s">
        <v>91</v>
      </c>
      <c r="C24" s="48"/>
      <c r="D24" s="49">
        <v>19000</v>
      </c>
      <c r="E24" s="49">
        <v>18095</v>
      </c>
      <c r="F24" s="48">
        <v>21996</v>
      </c>
      <c r="G24" s="48">
        <v>27724</v>
      </c>
      <c r="H24" s="40"/>
      <c r="I24" s="40"/>
    </row>
    <row r="25" spans="2:9" x14ac:dyDescent="0.45">
      <c r="B25" s="44" t="s">
        <v>92</v>
      </c>
      <c r="C25" s="48"/>
      <c r="D25" s="55"/>
      <c r="E25" s="55"/>
      <c r="F25" s="46">
        <v>6693</v>
      </c>
      <c r="G25" s="46">
        <v>0</v>
      </c>
      <c r="H25" s="40"/>
      <c r="I25" s="40"/>
    </row>
    <row r="26" spans="2:9" x14ac:dyDescent="0.45">
      <c r="B26" s="47" t="s">
        <v>93</v>
      </c>
      <c r="C26" s="46"/>
      <c r="D26" s="55">
        <v>2749</v>
      </c>
      <c r="E26" s="55">
        <v>5247</v>
      </c>
      <c r="F26" s="46">
        <v>2249</v>
      </c>
      <c r="G26" s="46">
        <v>2999</v>
      </c>
      <c r="H26" s="40"/>
      <c r="I26" s="40"/>
    </row>
    <row r="27" spans="2:9" x14ac:dyDescent="0.45">
      <c r="B27" s="47" t="s">
        <v>94</v>
      </c>
      <c r="C27" s="46"/>
      <c r="D27" s="55">
        <v>10661</v>
      </c>
      <c r="E27" s="55">
        <v>11009</v>
      </c>
      <c r="F27" s="46">
        <v>12564</v>
      </c>
      <c r="G27" s="46">
        <v>13709</v>
      </c>
      <c r="H27" s="40"/>
      <c r="I27" s="40"/>
    </row>
    <row r="28" spans="2:9" x14ac:dyDescent="0.45">
      <c r="B28" s="47" t="s">
        <v>95</v>
      </c>
      <c r="C28" s="46"/>
      <c r="D28" s="55">
        <v>4067</v>
      </c>
      <c r="E28" s="55">
        <v>4152</v>
      </c>
      <c r="F28" s="46">
        <v>5017</v>
      </c>
      <c r="G28" s="46">
        <v>7211</v>
      </c>
      <c r="H28" s="40"/>
      <c r="I28" s="40"/>
    </row>
    <row r="29" spans="2:9" x14ac:dyDescent="0.45">
      <c r="B29" s="47" t="s">
        <v>96</v>
      </c>
      <c r="C29" s="46"/>
      <c r="D29" s="55">
        <v>45538</v>
      </c>
      <c r="E29" s="55">
        <v>50901</v>
      </c>
      <c r="F29" s="46">
        <v>57582</v>
      </c>
      <c r="G29" s="46">
        <v>64555</v>
      </c>
      <c r="H29" s="40"/>
      <c r="I29" s="40"/>
    </row>
    <row r="30" spans="2:9" x14ac:dyDescent="0.45">
      <c r="B30" s="64" t="s">
        <v>97</v>
      </c>
      <c r="C30" s="58"/>
      <c r="D30" s="52">
        <v>13067</v>
      </c>
      <c r="E30" s="52">
        <v>14745</v>
      </c>
      <c r="F30" s="58">
        <v>19185</v>
      </c>
      <c r="G30" s="58">
        <v>25020</v>
      </c>
      <c r="H30" s="40"/>
      <c r="I30" s="40"/>
    </row>
    <row r="31" spans="2:9" x14ac:dyDescent="0.45">
      <c r="B31" s="47" t="s">
        <v>98</v>
      </c>
      <c r="C31" s="54"/>
      <c r="D31" s="55">
        <v>47032</v>
      </c>
      <c r="E31" s="55">
        <v>41990</v>
      </c>
      <c r="F31" s="54">
        <v>125286</v>
      </c>
      <c r="G31" s="54">
        <v>141218</v>
      </c>
      <c r="H31" s="40"/>
      <c r="I31" s="40"/>
    </row>
    <row r="32" spans="2:9" x14ac:dyDescent="0.45">
      <c r="B32" s="44" t="s">
        <v>56</v>
      </c>
      <c r="C32" s="54"/>
      <c r="D32" s="55">
        <v>47032</v>
      </c>
      <c r="E32" s="55">
        <v>41990</v>
      </c>
      <c r="F32" s="54">
        <v>42688</v>
      </c>
      <c r="G32" s="54">
        <v>40152</v>
      </c>
      <c r="H32" s="40"/>
      <c r="I32" s="40"/>
    </row>
    <row r="33" spans="2:9" x14ac:dyDescent="0.45">
      <c r="B33" s="44" t="s">
        <v>99</v>
      </c>
      <c r="C33" s="54"/>
      <c r="D33" s="55">
        <v>26069</v>
      </c>
      <c r="E33" s="55">
        <v>25560</v>
      </c>
      <c r="F33" s="54">
        <v>27931</v>
      </c>
      <c r="G33" s="54">
        <v>25986</v>
      </c>
      <c r="H33" s="40"/>
      <c r="I33" s="40"/>
    </row>
    <row r="34" spans="2:9" x14ac:dyDescent="0.45">
      <c r="B34" s="44" t="s">
        <v>100</v>
      </c>
      <c r="C34" s="54"/>
      <c r="D34" s="55">
        <v>2870</v>
      </c>
      <c r="E34" s="55">
        <v>2912</v>
      </c>
      <c r="F34" s="54">
        <v>2602</v>
      </c>
      <c r="G34" s="54">
        <v>2710</v>
      </c>
      <c r="H34" s="40"/>
      <c r="I34" s="40"/>
    </row>
    <row r="35" spans="2:9" x14ac:dyDescent="0.45">
      <c r="B35" s="44" t="s">
        <v>11</v>
      </c>
      <c r="C35" s="54"/>
      <c r="D35" s="65">
        <v>230</v>
      </c>
      <c r="E35" s="65">
        <v>433</v>
      </c>
      <c r="F35" s="54">
        <v>2618</v>
      </c>
      <c r="G35" s="54">
        <v>2835</v>
      </c>
      <c r="H35" s="40"/>
      <c r="I35" s="40"/>
    </row>
    <row r="36" spans="2:9" x14ac:dyDescent="0.45">
      <c r="B36" s="44" t="s">
        <v>101</v>
      </c>
      <c r="C36" s="54"/>
      <c r="D36" s="55">
        <v>11489</v>
      </c>
      <c r="E36" s="55">
        <v>12728</v>
      </c>
      <c r="F36" s="54">
        <v>15497</v>
      </c>
      <c r="G36" s="54">
        <v>17437</v>
      </c>
      <c r="H36" s="40"/>
      <c r="I36" s="40"/>
    </row>
    <row r="37" spans="2:9" x14ac:dyDescent="0.45">
      <c r="B37" s="60" t="s">
        <v>55</v>
      </c>
      <c r="C37" s="58"/>
      <c r="D37" s="52">
        <v>15526</v>
      </c>
      <c r="E37" s="52">
        <v>17981</v>
      </c>
      <c r="F37" s="58">
        <v>27064</v>
      </c>
      <c r="G37" s="58">
        <v>45186</v>
      </c>
      <c r="H37" s="40"/>
      <c r="I37" s="40"/>
    </row>
    <row r="38" spans="2:9" x14ac:dyDescent="0.45">
      <c r="B38" s="66" t="s">
        <v>102</v>
      </c>
      <c r="C38" s="67"/>
      <c r="D38" s="68">
        <v>198298</v>
      </c>
      <c r="E38" s="68">
        <v>205753</v>
      </c>
      <c r="F38" s="67">
        <v>243686</v>
      </c>
      <c r="G38" s="67">
        <v>275524</v>
      </c>
      <c r="H38" s="40"/>
      <c r="I38" s="40"/>
    </row>
    <row r="39" spans="2:9" x14ac:dyDescent="0.45">
      <c r="B39" s="44" t="s">
        <v>103</v>
      </c>
      <c r="C39" s="69"/>
      <c r="D39" s="69"/>
      <c r="E39" s="69"/>
      <c r="F39" s="69"/>
      <c r="G39" s="69"/>
      <c r="H39" s="40"/>
      <c r="I39" s="40"/>
    </row>
    <row r="40" spans="2:9" x14ac:dyDescent="0.45">
      <c r="B40" s="44" t="s">
        <v>104</v>
      </c>
      <c r="C40" s="63"/>
      <c r="D40" s="63"/>
      <c r="E40" s="63"/>
      <c r="F40" s="63"/>
      <c r="G40" s="63"/>
      <c r="H40" s="40"/>
      <c r="I40" s="40"/>
    </row>
    <row r="41" spans="2:9" ht="32.25" customHeight="1" x14ac:dyDescent="0.45">
      <c r="B41" s="70" t="s">
        <v>105</v>
      </c>
      <c r="C41" s="54"/>
      <c r="D41" s="55">
        <v>86939</v>
      </c>
      <c r="E41" s="55">
        <v>93718</v>
      </c>
      <c r="F41" s="54">
        <v>100923</v>
      </c>
      <c r="G41" s="54">
        <v>109095</v>
      </c>
      <c r="H41" s="40"/>
      <c r="I41" s="40"/>
    </row>
    <row r="42" spans="2:9" x14ac:dyDescent="0.45">
      <c r="B42" s="70" t="s">
        <v>106</v>
      </c>
      <c r="C42" s="54"/>
      <c r="D42" s="55">
        <v>84281</v>
      </c>
      <c r="E42" s="55">
        <v>118848</v>
      </c>
      <c r="F42" s="54">
        <v>173144</v>
      </c>
      <c r="G42" s="54">
        <v>237731</v>
      </c>
      <c r="H42" s="40"/>
      <c r="I42" s="40"/>
    </row>
    <row r="43" spans="2:9" x14ac:dyDescent="0.45">
      <c r="B43" s="71" t="s">
        <v>107</v>
      </c>
      <c r="C43" s="54"/>
      <c r="D43" s="55">
        <v>-4678</v>
      </c>
      <c r="E43" s="52">
        <v>-6343</v>
      </c>
      <c r="F43" s="54">
        <v>-5590</v>
      </c>
      <c r="G43" s="51">
        <v>-3347</v>
      </c>
      <c r="H43" s="40"/>
      <c r="I43" s="40"/>
    </row>
    <row r="44" spans="2:9" x14ac:dyDescent="0.45">
      <c r="B44" s="71" t="s">
        <v>108</v>
      </c>
      <c r="C44" s="51"/>
      <c r="D44" s="68">
        <v>166542</v>
      </c>
      <c r="E44" s="52">
        <v>206223</v>
      </c>
      <c r="F44" s="67">
        <v>268477</v>
      </c>
      <c r="G44" s="51">
        <v>343479</v>
      </c>
      <c r="H44" s="40"/>
      <c r="I44" s="40"/>
    </row>
    <row r="45" spans="2:9" ht="14.1" thickBot="1" x14ac:dyDescent="0.5">
      <c r="B45" s="47" t="s">
        <v>109</v>
      </c>
      <c r="C45" s="61"/>
      <c r="D45" s="62">
        <v>364840</v>
      </c>
      <c r="E45" s="62">
        <v>411976</v>
      </c>
      <c r="F45" s="61">
        <v>512163</v>
      </c>
      <c r="G45" s="61">
        <v>619003</v>
      </c>
      <c r="H45" s="40"/>
      <c r="I45" s="40"/>
    </row>
    <row r="46" spans="2:9" x14ac:dyDescent="0.45">
      <c r="B46" s="44"/>
      <c r="C46" s="72"/>
      <c r="D46" s="72"/>
      <c r="E46" s="72"/>
      <c r="F46" s="72"/>
      <c r="G46" s="72"/>
      <c r="H46" s="40"/>
      <c r="I46" s="40"/>
    </row>
    <row r="47" spans="2:9" x14ac:dyDescent="0.45">
      <c r="B47" s="73"/>
      <c r="C47" s="39"/>
      <c r="D47" s="39"/>
      <c r="E47" s="39"/>
      <c r="F47" s="39"/>
      <c r="G47" s="39"/>
      <c r="H47" s="40"/>
      <c r="I47" s="40"/>
    </row>
    <row r="48" spans="2:9" ht="14.1" x14ac:dyDescent="0.5">
      <c r="B48" s="75" t="s">
        <v>69</v>
      </c>
      <c r="C48" s="39"/>
      <c r="D48" s="39"/>
      <c r="E48" s="39"/>
      <c r="F48" s="39"/>
      <c r="G48" s="39"/>
      <c r="H48" s="40"/>
      <c r="I48" s="40"/>
    </row>
    <row r="49" spans="2:7" x14ac:dyDescent="0.45">
      <c r="B49" s="149" t="s">
        <v>205</v>
      </c>
    </row>
    <row r="50" spans="2:7" x14ac:dyDescent="0.45">
      <c r="B50" s="149"/>
    </row>
    <row r="51" spans="2:7" x14ac:dyDescent="0.45">
      <c r="B51" s="1" t="s">
        <v>206</v>
      </c>
      <c r="D51" s="150">
        <f>'MSFT - IS'!E10</f>
        <v>198270</v>
      </c>
      <c r="E51" s="150">
        <f>'MSFT - IS'!F10</f>
        <v>211915</v>
      </c>
      <c r="F51" s="150">
        <f>'MSFT - IS'!G10</f>
        <v>245122</v>
      </c>
      <c r="G51" s="150">
        <f>'MSFT - IS'!H10</f>
        <v>281724</v>
      </c>
    </row>
    <row r="52" spans="2:7" x14ac:dyDescent="0.45">
      <c r="B52" s="1" t="s">
        <v>50</v>
      </c>
      <c r="D52" s="150">
        <f>'MSFT - IS'!E14</f>
        <v>62650</v>
      </c>
      <c r="E52" s="150">
        <f>'MSFT - IS'!F14</f>
        <v>65863</v>
      </c>
      <c r="F52" s="150">
        <f>'MSFT - IS'!G14</f>
        <v>74114</v>
      </c>
      <c r="G52" s="150">
        <f>'MSFT - IS'!H14</f>
        <v>87831</v>
      </c>
    </row>
    <row r="53" spans="2:7" x14ac:dyDescent="0.45">
      <c r="B53" s="1" t="s">
        <v>8</v>
      </c>
      <c r="D53" s="150">
        <f>'MSFT - IS'!E30</f>
        <v>2063</v>
      </c>
      <c r="E53" s="150">
        <f>'MSFT - IS'!F30</f>
        <v>1968</v>
      </c>
      <c r="F53" s="150">
        <f>'MSFT - IS'!G30</f>
        <v>2935</v>
      </c>
      <c r="G53" s="150">
        <f>'MSFT - IS'!H30</f>
        <v>2385</v>
      </c>
    </row>
    <row r="54" spans="2:7" x14ac:dyDescent="0.45">
      <c r="B54" s="1" t="s">
        <v>208</v>
      </c>
      <c r="D54" s="150">
        <f>'MSFT - IS'!E20</f>
        <v>83383</v>
      </c>
      <c r="E54" s="150">
        <f>'MSFT - IS'!F20</f>
        <v>88523</v>
      </c>
      <c r="F54" s="150">
        <f>'MSFT - IS'!G20</f>
        <v>109433</v>
      </c>
      <c r="G54" s="150">
        <f>'MSFT - IS'!H20</f>
        <v>128528</v>
      </c>
    </row>
    <row r="55" spans="2:7" x14ac:dyDescent="0.45">
      <c r="B55" s="1" t="s">
        <v>207</v>
      </c>
      <c r="D55" s="150">
        <f>'MSFT - IS'!E22</f>
        <v>83716</v>
      </c>
      <c r="E55" s="150">
        <f>'MSFT - IS'!F22</f>
        <v>89311</v>
      </c>
      <c r="F55" s="150">
        <f>'MSFT - IS'!G22</f>
        <v>107787</v>
      </c>
      <c r="G55" s="150">
        <f>'MSFT - IS'!H22</f>
        <v>123627</v>
      </c>
    </row>
    <row r="56" spans="2:7" x14ac:dyDescent="0.45">
      <c r="B56" s="1" t="s">
        <v>54</v>
      </c>
      <c r="D56" s="150">
        <f>'MSFT - IS'!E24</f>
        <v>72738</v>
      </c>
      <c r="E56" s="150">
        <f>'MSFT - IS'!F24</f>
        <v>72361</v>
      </c>
      <c r="F56" s="150">
        <f>'MSFT - IS'!G24</f>
        <v>88136</v>
      </c>
      <c r="G56" s="150">
        <f>'MSFT - IS'!H24</f>
        <v>101832</v>
      </c>
    </row>
    <row r="59" spans="2:7" ht="14.1" x14ac:dyDescent="0.5">
      <c r="B59" s="12" t="s">
        <v>212</v>
      </c>
    </row>
    <row r="61" spans="2:7" x14ac:dyDescent="0.45">
      <c r="B61" s="1" t="s">
        <v>209</v>
      </c>
      <c r="D61" s="151">
        <f>(D25+D26+D32)/D21</f>
        <v>0.13644611336476264</v>
      </c>
      <c r="E61" s="151">
        <f t="shared" ref="E61:G61" si="0">(E25+E26+E32)/E21</f>
        <v>0.11465959182088277</v>
      </c>
      <c r="F61" s="151">
        <f t="shared" si="0"/>
        <v>0.10080775065750552</v>
      </c>
      <c r="G61" s="151">
        <f t="shared" si="0"/>
        <v>6.9710486055802642E-2</v>
      </c>
    </row>
    <row r="62" spans="2:7" x14ac:dyDescent="0.45">
      <c r="B62" s="1" t="s">
        <v>210</v>
      </c>
      <c r="D62" s="151">
        <f>(D25+D26+D32)/D44</f>
        <v>0.29890958436910808</v>
      </c>
      <c r="E62" s="151">
        <f t="shared" ref="E62:G62" si="1">(E25+E26+E32)/E44</f>
        <v>0.2290578645446919</v>
      </c>
      <c r="F62" s="151">
        <f t="shared" si="1"/>
        <v>0.19230697601656752</v>
      </c>
      <c r="G62" s="151">
        <f t="shared" si="1"/>
        <v>0.12562922332951942</v>
      </c>
    </row>
    <row r="63" spans="2:7" x14ac:dyDescent="0.45">
      <c r="B63" s="1" t="s">
        <v>211</v>
      </c>
      <c r="D63" s="152">
        <f>D54/D53</f>
        <v>40.418322830828892</v>
      </c>
      <c r="E63" s="152">
        <f t="shared" ref="E63:G63" si="2">E54/E53</f>
        <v>44.981199186991873</v>
      </c>
      <c r="F63" s="152">
        <f t="shared" si="2"/>
        <v>37.285519591141394</v>
      </c>
      <c r="G63" s="152">
        <f t="shared" si="2"/>
        <v>53.89014675052411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F58E-A82B-4E4B-984D-B2A2345FCEAD}">
  <dimension ref="B2:D60"/>
  <sheetViews>
    <sheetView workbookViewId="0"/>
  </sheetViews>
  <sheetFormatPr defaultColWidth="9.15625" defaultRowHeight="13.8" x14ac:dyDescent="0.45"/>
  <cols>
    <col min="1" max="1" width="5.15625" style="1" customWidth="1"/>
    <col min="2" max="2" width="35.47265625" style="1" bestFit="1" customWidth="1"/>
    <col min="3" max="3" width="22.83984375" style="1" customWidth="1"/>
    <col min="4" max="4" width="20.83984375" style="1" customWidth="1"/>
    <col min="5" max="16384" width="9.15625" style="1"/>
  </cols>
  <sheetData>
    <row r="2" spans="2:4" ht="14.1" x14ac:dyDescent="0.5">
      <c r="B2" s="12" t="s">
        <v>218</v>
      </c>
      <c r="C2" s="154"/>
    </row>
    <row r="3" spans="2:4" ht="14.1" x14ac:dyDescent="0.5">
      <c r="B3" s="12"/>
      <c r="C3" s="154"/>
    </row>
    <row r="4" spans="2:4" ht="14.1" x14ac:dyDescent="0.5">
      <c r="B4" s="12" t="s">
        <v>219</v>
      </c>
      <c r="C4" s="154"/>
    </row>
    <row r="6" spans="2:4" ht="14.1" x14ac:dyDescent="0.5">
      <c r="B6" s="3" t="s">
        <v>220</v>
      </c>
      <c r="C6" s="3"/>
      <c r="D6" s="155" t="s">
        <v>24</v>
      </c>
    </row>
    <row r="7" spans="2:4" x14ac:dyDescent="0.45">
      <c r="B7" s="1" t="s">
        <v>221</v>
      </c>
      <c r="C7" s="13"/>
      <c r="D7" s="13">
        <v>15000</v>
      </c>
    </row>
    <row r="8" spans="2:4" x14ac:dyDescent="0.45">
      <c r="B8" s="1" t="s">
        <v>222</v>
      </c>
      <c r="C8" s="13"/>
      <c r="D8" s="13">
        <v>20000</v>
      </c>
    </row>
    <row r="9" spans="2:4" x14ac:dyDescent="0.45">
      <c r="B9" s="1" t="s">
        <v>223</v>
      </c>
      <c r="D9" s="13">
        <v>15000</v>
      </c>
    </row>
    <row r="10" spans="2:4" x14ac:dyDescent="0.45">
      <c r="B10" s="1" t="s">
        <v>224</v>
      </c>
      <c r="D10" s="13">
        <v>35000</v>
      </c>
    </row>
    <row r="12" spans="2:4" ht="14.1" x14ac:dyDescent="0.5">
      <c r="B12" s="3" t="s">
        <v>225</v>
      </c>
      <c r="C12" s="3"/>
      <c r="D12" s="156" t="s">
        <v>24</v>
      </c>
    </row>
    <row r="13" spans="2:4" x14ac:dyDescent="0.45">
      <c r="B13" s="1" t="s">
        <v>226</v>
      </c>
      <c r="D13" s="13">
        <v>300000</v>
      </c>
    </row>
    <row r="14" spans="2:4" x14ac:dyDescent="0.45">
      <c r="B14" s="1" t="s">
        <v>227</v>
      </c>
      <c r="D14" s="13">
        <v>-120000</v>
      </c>
    </row>
    <row r="15" spans="2:4" x14ac:dyDescent="0.45">
      <c r="B15" s="1" t="s">
        <v>228</v>
      </c>
      <c r="D15" s="13">
        <v>-80000</v>
      </c>
    </row>
    <row r="16" spans="2:4" x14ac:dyDescent="0.45">
      <c r="B16" s="1" t="s">
        <v>229</v>
      </c>
      <c r="D16" s="13">
        <v>-17000</v>
      </c>
    </row>
    <row r="17" spans="2:4" x14ac:dyDescent="0.45">
      <c r="B17" s="1" t="s">
        <v>230</v>
      </c>
      <c r="D17" s="13">
        <v>-12000</v>
      </c>
    </row>
    <row r="18" spans="2:4" x14ac:dyDescent="0.45">
      <c r="B18" s="1" t="s">
        <v>8</v>
      </c>
      <c r="D18" s="13">
        <v>-700</v>
      </c>
    </row>
    <row r="19" spans="2:4" x14ac:dyDescent="0.45">
      <c r="B19" s="26" t="s">
        <v>231</v>
      </c>
      <c r="C19" s="26"/>
      <c r="D19" s="88">
        <v>-5000</v>
      </c>
    </row>
    <row r="20" spans="2:4" ht="14.1" x14ac:dyDescent="0.5">
      <c r="B20" s="2" t="s">
        <v>26</v>
      </c>
      <c r="C20" s="2"/>
      <c r="D20" s="157">
        <f>SUM(D13:D19)</f>
        <v>65300</v>
      </c>
    </row>
    <row r="21" spans="2:4" x14ac:dyDescent="0.45">
      <c r="D21" s="33"/>
    </row>
    <row r="22" spans="2:4" ht="14.1" x14ac:dyDescent="0.5">
      <c r="B22" s="3" t="s">
        <v>232</v>
      </c>
      <c r="C22" s="155" t="s">
        <v>23</v>
      </c>
      <c r="D22" s="155" t="s">
        <v>233</v>
      </c>
    </row>
    <row r="23" spans="2:4" x14ac:dyDescent="0.45">
      <c r="B23" s="1" t="s">
        <v>25</v>
      </c>
      <c r="C23" s="13">
        <v>45000</v>
      </c>
      <c r="D23" s="13">
        <v>50600</v>
      </c>
    </row>
    <row r="24" spans="2:4" x14ac:dyDescent="0.45">
      <c r="B24" s="1" t="s">
        <v>234</v>
      </c>
      <c r="C24" s="13">
        <v>50000</v>
      </c>
      <c r="D24" s="13">
        <v>35000</v>
      </c>
    </row>
    <row r="25" spans="2:4" x14ac:dyDescent="0.45">
      <c r="B25" s="1" t="s">
        <v>235</v>
      </c>
      <c r="C25" s="13">
        <v>108000</v>
      </c>
      <c r="D25" s="13">
        <v>125000</v>
      </c>
    </row>
    <row r="26" spans="2:4" x14ac:dyDescent="0.45">
      <c r="B26" s="1" t="s">
        <v>236</v>
      </c>
      <c r="C26" s="13">
        <v>13000</v>
      </c>
      <c r="D26" s="13">
        <v>16000</v>
      </c>
    </row>
    <row r="27" spans="2:4" x14ac:dyDescent="0.45">
      <c r="B27" s="1" t="s">
        <v>237</v>
      </c>
      <c r="C27" s="13">
        <v>290000</v>
      </c>
      <c r="D27" s="13">
        <v>340000</v>
      </c>
    </row>
    <row r="28" spans="2:4" x14ac:dyDescent="0.45">
      <c r="B28" s="26" t="s">
        <v>238</v>
      </c>
      <c r="C28" s="88">
        <v>-56000</v>
      </c>
      <c r="D28" s="88">
        <v>-68000</v>
      </c>
    </row>
    <row r="29" spans="2:4" ht="14.1" x14ac:dyDescent="0.5">
      <c r="B29" s="2" t="s">
        <v>239</v>
      </c>
      <c r="C29" s="157">
        <f>SUM(C23:C28)</f>
        <v>450000</v>
      </c>
      <c r="D29" s="157">
        <f>SUM(D23:D28)</f>
        <v>498600</v>
      </c>
    </row>
    <row r="30" spans="2:4" x14ac:dyDescent="0.45">
      <c r="D30" s="13"/>
    </row>
    <row r="31" spans="2:4" x14ac:dyDescent="0.45">
      <c r="B31" s="1" t="s">
        <v>240</v>
      </c>
      <c r="C31" s="13">
        <v>15200</v>
      </c>
      <c r="D31" s="13">
        <v>19000</v>
      </c>
    </row>
    <row r="32" spans="2:4" x14ac:dyDescent="0.45">
      <c r="B32" s="1" t="s">
        <v>33</v>
      </c>
      <c r="C32" s="13">
        <v>800</v>
      </c>
      <c r="D32" s="13">
        <v>300</v>
      </c>
    </row>
    <row r="33" spans="2:4" x14ac:dyDescent="0.45">
      <c r="B33" s="1" t="s">
        <v>32</v>
      </c>
      <c r="C33" s="13">
        <v>120000</v>
      </c>
      <c r="D33" s="13">
        <v>80000</v>
      </c>
    </row>
    <row r="34" spans="2:4" x14ac:dyDescent="0.45">
      <c r="B34" s="1" t="s">
        <v>241</v>
      </c>
      <c r="C34" s="13">
        <v>220000</v>
      </c>
      <c r="D34" s="13">
        <v>255000</v>
      </c>
    </row>
    <row r="35" spans="2:4" x14ac:dyDescent="0.45">
      <c r="B35" s="1" t="s">
        <v>242</v>
      </c>
      <c r="C35" s="13">
        <v>94000</v>
      </c>
      <c r="D35" s="13">
        <v>144300</v>
      </c>
    </row>
    <row r="36" spans="2:4" ht="14.1" x14ac:dyDescent="0.5">
      <c r="B36" s="158" t="s">
        <v>16</v>
      </c>
      <c r="C36" s="159">
        <f>SUM(C31:C35)</f>
        <v>450000</v>
      </c>
      <c r="D36" s="159">
        <f>SUM(D31:D35)</f>
        <v>498600</v>
      </c>
    </row>
    <row r="38" spans="2:4" ht="14.1" x14ac:dyDescent="0.5">
      <c r="B38" s="3" t="s">
        <v>27</v>
      </c>
      <c r="C38" s="3"/>
      <c r="D38" s="155" t="s">
        <v>233</v>
      </c>
    </row>
    <row r="39" spans="2:4" x14ac:dyDescent="0.45">
      <c r="B39" s="1" t="s">
        <v>47</v>
      </c>
      <c r="D39" s="13">
        <f>D20</f>
        <v>65300</v>
      </c>
    </row>
    <row r="40" spans="2:4" x14ac:dyDescent="0.45">
      <c r="B40" s="1" t="s">
        <v>28</v>
      </c>
      <c r="D40" s="13">
        <f>-D17</f>
        <v>12000</v>
      </c>
    </row>
    <row r="41" spans="2:4" x14ac:dyDescent="0.45">
      <c r="B41" s="1" t="s">
        <v>231</v>
      </c>
      <c r="D41" s="13">
        <f>-D19</f>
        <v>5000</v>
      </c>
    </row>
    <row r="42" spans="2:4" x14ac:dyDescent="0.45">
      <c r="B42" s="1" t="s">
        <v>29</v>
      </c>
      <c r="D42" s="13">
        <f>C24-D24</f>
        <v>15000</v>
      </c>
    </row>
    <row r="43" spans="2:4" x14ac:dyDescent="0.45">
      <c r="B43" s="1" t="s">
        <v>30</v>
      </c>
      <c r="D43" s="13">
        <f t="shared" ref="D43" si="0">C25-D25</f>
        <v>-17000</v>
      </c>
    </row>
    <row r="44" spans="2:4" x14ac:dyDescent="0.45">
      <c r="B44" s="1" t="s">
        <v>243</v>
      </c>
      <c r="D44" s="13">
        <f>C26-D26</f>
        <v>-3000</v>
      </c>
    </row>
    <row r="45" spans="2:4" x14ac:dyDescent="0.45">
      <c r="B45" s="1" t="s">
        <v>244</v>
      </c>
      <c r="D45" s="13">
        <f>D31-C31</f>
        <v>3800</v>
      </c>
    </row>
    <row r="46" spans="2:4" x14ac:dyDescent="0.45">
      <c r="B46" s="26" t="s">
        <v>245</v>
      </c>
      <c r="C46" s="26"/>
      <c r="D46" s="88">
        <f>D32-C32</f>
        <v>-500</v>
      </c>
    </row>
    <row r="47" spans="2:4" ht="14.1" x14ac:dyDescent="0.5">
      <c r="B47" s="2" t="s">
        <v>246</v>
      </c>
      <c r="C47" s="2"/>
      <c r="D47" s="157">
        <f>SUM(D39:D46)</f>
        <v>80600</v>
      </c>
    </row>
    <row r="49" spans="2:4" x14ac:dyDescent="0.45">
      <c r="B49" s="1" t="s">
        <v>247</v>
      </c>
      <c r="D49" s="13">
        <f>C27-D27-D8</f>
        <v>-70000</v>
      </c>
    </row>
    <row r="50" spans="2:4" x14ac:dyDescent="0.45">
      <c r="B50" s="1" t="s">
        <v>248</v>
      </c>
      <c r="D50" s="13">
        <f>D7</f>
        <v>15000</v>
      </c>
    </row>
    <row r="51" spans="2:4" ht="14.1" x14ac:dyDescent="0.5">
      <c r="B51" s="158" t="s">
        <v>249</v>
      </c>
      <c r="C51" s="158"/>
      <c r="D51" s="159">
        <f>SUM(D49:D50)</f>
        <v>-55000</v>
      </c>
    </row>
    <row r="53" spans="2:4" x14ac:dyDescent="0.45">
      <c r="B53" s="1" t="s">
        <v>32</v>
      </c>
      <c r="D53" s="13">
        <f>D33-C33</f>
        <v>-40000</v>
      </c>
    </row>
    <row r="54" spans="2:4" x14ac:dyDescent="0.45">
      <c r="B54" s="1" t="s">
        <v>250</v>
      </c>
      <c r="D54" s="13">
        <f>-D9</f>
        <v>-15000</v>
      </c>
    </row>
    <row r="55" spans="2:4" x14ac:dyDescent="0.45">
      <c r="B55" s="1" t="s">
        <v>251</v>
      </c>
      <c r="D55" s="13">
        <f>D10</f>
        <v>35000</v>
      </c>
    </row>
    <row r="56" spans="2:4" ht="14.1" x14ac:dyDescent="0.5">
      <c r="B56" s="158" t="s">
        <v>252</v>
      </c>
      <c r="C56" s="158"/>
      <c r="D56" s="159">
        <f>SUM(D53:D55)</f>
        <v>-20000</v>
      </c>
    </row>
    <row r="58" spans="2:4" x14ac:dyDescent="0.45">
      <c r="B58" s="1" t="s">
        <v>253</v>
      </c>
      <c r="D58" s="13">
        <f>D47+D51+D56</f>
        <v>5600</v>
      </c>
    </row>
    <row r="59" spans="2:4" x14ac:dyDescent="0.45">
      <c r="B59" s="1" t="s">
        <v>31</v>
      </c>
      <c r="D59" s="13">
        <f>C23</f>
        <v>45000</v>
      </c>
    </row>
    <row r="60" spans="2:4" x14ac:dyDescent="0.45">
      <c r="B60" s="1" t="s">
        <v>254</v>
      </c>
      <c r="D60" s="13">
        <f>D23</f>
        <v>50600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MSFT - BS</vt:lpstr>
      <vt:lpstr>MSFT - IS</vt:lpstr>
      <vt:lpstr>MSFT - CF</vt:lpstr>
      <vt:lpstr>MSFT - segment info</vt:lpstr>
      <vt:lpstr>P3- MSFT-AR</vt:lpstr>
      <vt:lpstr>P4-WMT-IS and BS</vt:lpstr>
      <vt:lpstr>P4-TGT-IS and BS</vt:lpstr>
      <vt:lpstr>P5-MSFT-PPE</vt:lpstr>
      <vt:lpstr>P6-MSFT-leverage</vt:lpstr>
      <vt:lpstr>P8-CF statement</vt:lpstr>
      <vt:lpstr>'P6-MSFT-leverage'!Balance_Sheet</vt:lpstr>
      <vt:lpstr>Balance_Sheet</vt:lpstr>
      <vt:lpstr>Cash_Flow</vt:lpstr>
      <vt:lpstr>'MSFT - segment info'!Fin_Operating_Segment_History</vt:lpstr>
      <vt:lpstr>'MSFT - BS'!Print_Area</vt:lpstr>
      <vt:lpstr>'MSFT - CF'!Print_Area</vt:lpstr>
      <vt:lpstr>'P6-MSFT-leverage'!Print_Area</vt:lpstr>
      <vt:lpstr>Yearly_Income_Statements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2019-12-13T03:44:57Z</dcterms:created>
  <dcterms:modified xsi:type="dcterms:W3CDTF">2025-11-10T00:29:50Z</dcterms:modified>
</cp:coreProperties>
</file>