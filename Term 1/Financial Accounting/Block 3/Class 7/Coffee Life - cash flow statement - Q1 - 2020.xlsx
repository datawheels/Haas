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35860719f7b8c5/Desktop/UC Berkeley 2023/BCPA 102/Class 10/"/>
    </mc:Choice>
  </mc:AlternateContent>
  <xr:revisionPtr revIDLastSave="12" documentId="11_AA4BFF6B6801F8871CECFE4D6E12761C418C97BA" xr6:coauthVersionLast="47" xr6:coauthVersionMax="47" xr10:uidLastSave="{3E751695-B54D-4249-B4AF-21DE3793AB66}"/>
  <bookViews>
    <workbookView xWindow="-96" yWindow="-96" windowWidth="23232" windowHeight="13872" xr2:uid="{00000000-000D-0000-FFFF-FFFF00000000}"/>
  </bookViews>
  <sheets>
    <sheet name="Balance sheet" sheetId="2" r:id="rId1"/>
    <sheet name="Income statement" sheetId="1" r:id="rId2"/>
    <sheet name="Cash flow statement" sheetId="3" r:id="rId3"/>
    <sheet name="Conne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D27" i="3" l="1"/>
  <c r="D37" i="3" l="1"/>
  <c r="D24" i="3" l="1"/>
  <c r="D32" i="3" l="1"/>
  <c r="D36" i="3"/>
  <c r="D38" i="3" s="1"/>
  <c r="D8" i="3"/>
  <c r="E21" i="2"/>
  <c r="E24" i="2" s="1"/>
  <c r="D22" i="3"/>
  <c r="D11" i="3"/>
  <c r="D12" i="3"/>
  <c r="D13" i="3"/>
  <c r="D14" i="3"/>
  <c r="D16" i="1"/>
  <c r="D8" i="1"/>
  <c r="D17" i="1" l="1"/>
  <c r="D22" i="1" s="1"/>
  <c r="D24" i="1" s="1"/>
  <c r="D25" i="1" l="1"/>
  <c r="D29" i="1"/>
  <c r="D6" i="3"/>
  <c r="D15" i="3" s="1"/>
  <c r="D33" i="3" s="1"/>
  <c r="E10" i="2" s="1"/>
  <c r="E15" i="2" s="1"/>
  <c r="D18" i="1"/>
  <c r="C17" i="3"/>
  <c r="C19" i="3"/>
  <c r="C37" i="3"/>
  <c r="C36" i="3"/>
  <c r="C26" i="3"/>
  <c r="C24" i="3"/>
  <c r="C32" i="3" s="1"/>
  <c r="C14" i="3"/>
  <c r="C13" i="3"/>
  <c r="C12" i="3"/>
  <c r="C11" i="3"/>
  <c r="C8" i="3"/>
  <c r="C38" i="3" l="1"/>
  <c r="C22" i="3"/>
  <c r="C16" i="1"/>
  <c r="C28" i="2"/>
  <c r="D21" i="2"/>
  <c r="D24" i="2" s="1"/>
  <c r="C21" i="2"/>
  <c r="C24" i="2" s="1"/>
  <c r="D10" i="2"/>
  <c r="D15" i="2" s="1"/>
  <c r="C10" i="2"/>
  <c r="C15" i="2" s="1"/>
  <c r="C29" i="2" l="1"/>
  <c r="C31" i="2" s="1"/>
  <c r="C8" i="1"/>
  <c r="C17" i="1" s="1"/>
  <c r="C18" i="1" s="1"/>
  <c r="C22" i="1" l="1"/>
  <c r="C24" i="1" l="1"/>
  <c r="C6" i="3" l="1"/>
  <c r="C15" i="3" s="1"/>
  <c r="C33" i="3" s="1"/>
  <c r="C25" i="1"/>
  <c r="D27" i="2"/>
  <c r="C29" i="1"/>
  <c r="D28" i="2" l="1"/>
  <c r="D29" i="2" s="1"/>
  <c r="D31" i="2" s="1"/>
  <c r="E28" i="2"/>
  <c r="E29" i="2" s="1"/>
  <c r="E31" i="2" s="1"/>
</calcChain>
</file>

<file path=xl/sharedStrings.xml><?xml version="1.0" encoding="utf-8"?>
<sst xmlns="http://schemas.openxmlformats.org/spreadsheetml/2006/main" count="168" uniqueCount="122">
  <si>
    <t>Basic</t>
  </si>
  <si>
    <t>Weighted average shares outstanding:</t>
  </si>
  <si>
    <t>Interest expense</t>
  </si>
  <si>
    <t>Operating income</t>
  </si>
  <si>
    <t>Total operating expenses</t>
  </si>
  <si>
    <t>General and administrative expenses</t>
  </si>
  <si>
    <t>Depreciation and amortization expenses</t>
  </si>
  <si>
    <t>Other operating expenses</t>
  </si>
  <si>
    <t>Store operating expenses</t>
  </si>
  <si>
    <t>Cost of sales</t>
  </si>
  <si>
    <t>TOTAL LIABILITIES AND EQUITY</t>
  </si>
  <si>
    <t>Total shareholders' equity</t>
  </si>
  <si>
    <t>Shareholders' equity:</t>
  </si>
  <si>
    <t>Total liabilities</t>
  </si>
  <si>
    <t>Long-term debt</t>
  </si>
  <si>
    <t>Total current liabilities</t>
  </si>
  <si>
    <t>Deferred Revenue, Current</t>
  </si>
  <si>
    <t>Accrued liabilities</t>
  </si>
  <si>
    <t>Accounts payable</t>
  </si>
  <si>
    <t>Current liabilities:</t>
  </si>
  <si>
    <t>TOTAL ASSETS</t>
  </si>
  <si>
    <t>Goodwill</t>
  </si>
  <si>
    <t>Other long-term assets</t>
  </si>
  <si>
    <t>Property, plant and equipment, net</t>
  </si>
  <si>
    <t>Total current assets</t>
  </si>
  <si>
    <t>Inventories</t>
  </si>
  <si>
    <t>Accounts receivable, net</t>
  </si>
  <si>
    <t>Cash and cash equivalents</t>
  </si>
  <si>
    <t>Current assets:</t>
  </si>
  <si>
    <t>End of period</t>
  </si>
  <si>
    <t>Beginning of period</t>
  </si>
  <si>
    <t>Other</t>
  </si>
  <si>
    <t>Repurchase of common stock</t>
  </si>
  <si>
    <t>Cash dividends paid</t>
  </si>
  <si>
    <t>Proceeds from issuance of common stock</t>
  </si>
  <si>
    <t>Acquisitions, net of cash acquired</t>
  </si>
  <si>
    <t>Other operating assets and liabilities</t>
  </si>
  <si>
    <t>Accounts receivable</t>
  </si>
  <si>
    <t>Depreciation and amortization</t>
  </si>
  <si>
    <t xml:space="preserve">Coffee Life - Cash flow statement </t>
  </si>
  <si>
    <t xml:space="preserve">Net Income </t>
  </si>
  <si>
    <t>Other non-cash adjustments</t>
  </si>
  <si>
    <t>Net cash flow from operations (CFO)</t>
  </si>
  <si>
    <t>Purchases of property</t>
  </si>
  <si>
    <t>Sales of property</t>
  </si>
  <si>
    <t>Net proceeds from other investments</t>
  </si>
  <si>
    <t>Adjustments:</t>
  </si>
  <si>
    <t>Changes in operating assets and liabilities:</t>
  </si>
  <si>
    <t>Net cash flow from investing activities (CFI)</t>
  </si>
  <si>
    <t>Net cash flow from financing activities (CFI)</t>
  </si>
  <si>
    <t>Cash summary</t>
  </si>
  <si>
    <t>Net Sales</t>
  </si>
  <si>
    <t>Gross profit</t>
  </si>
  <si>
    <t>Sales and marketing expenses</t>
  </si>
  <si>
    <t>New product development</t>
  </si>
  <si>
    <t>Interest income and other</t>
  </si>
  <si>
    <t>Income before income taxes</t>
  </si>
  <si>
    <t>Provision for income taxes</t>
  </si>
  <si>
    <t>Net Income</t>
  </si>
  <si>
    <t>Inventory</t>
  </si>
  <si>
    <t>Prepaid Expenses and other current assets</t>
  </si>
  <si>
    <t>Intangible assets</t>
  </si>
  <si>
    <t>Coffee Life - Balance sheet</t>
  </si>
  <si>
    <t xml:space="preserve">Short-term debt </t>
  </si>
  <si>
    <t>Other long-term liabilities</t>
  </si>
  <si>
    <t xml:space="preserve">Common stock and Additional paid-in capital </t>
  </si>
  <si>
    <t xml:space="preserve">Retained Earnings </t>
  </si>
  <si>
    <t xml:space="preserve">Check accounting equation </t>
  </si>
  <si>
    <t>Proceeds from ST borrowings</t>
  </si>
  <si>
    <t>Repayments of ST borrowings</t>
  </si>
  <si>
    <t>Proceeds from LT borrowings</t>
  </si>
  <si>
    <t>Repayments of LT borrowings</t>
  </si>
  <si>
    <t xml:space="preserve">EPS </t>
  </si>
  <si>
    <t>Consolidated Income Statement - $'000, shares in '000</t>
  </si>
  <si>
    <t xml:space="preserve">Consolidated Balance Sheets - $'000 </t>
  </si>
  <si>
    <t xml:space="preserve">Consolidated Cash Flow Statement - $'000 </t>
  </si>
  <si>
    <t>Total change in cash on the balance sheet</t>
  </si>
  <si>
    <t>Change in cash (CFO+CFI+CFF)</t>
  </si>
  <si>
    <t xml:space="preserve">Cash </t>
  </si>
  <si>
    <t xml:space="preserve">LT assets </t>
  </si>
  <si>
    <t xml:space="preserve">Other current assets  </t>
  </si>
  <si>
    <t>Total Assets</t>
  </si>
  <si>
    <t xml:space="preserve">Current liabilities </t>
  </si>
  <si>
    <t xml:space="preserve">Long term liabilities </t>
  </si>
  <si>
    <t xml:space="preserve">Total liabilities </t>
  </si>
  <si>
    <t xml:space="preserve">Common stock </t>
  </si>
  <si>
    <t>+</t>
  </si>
  <si>
    <t>=</t>
  </si>
  <si>
    <t>Assets = Liabilities + Equity</t>
  </si>
  <si>
    <t>Income Statement</t>
  </si>
  <si>
    <t>Revenue</t>
  </si>
  <si>
    <t>-</t>
  </si>
  <si>
    <t>Cost of revenue</t>
  </si>
  <si>
    <t xml:space="preserve">Gross profit </t>
  </si>
  <si>
    <t>Operating expenses</t>
  </si>
  <si>
    <t xml:space="preserve">Operating profit </t>
  </si>
  <si>
    <t>Non-operating expense/(income)</t>
  </si>
  <si>
    <t>Pre-tax income</t>
  </si>
  <si>
    <t xml:space="preserve">Taxes </t>
  </si>
  <si>
    <t xml:space="preserve">Cash flow statement </t>
  </si>
  <si>
    <t>Adjustments</t>
  </si>
  <si>
    <t>Cash inflow/outflow from operations</t>
  </si>
  <si>
    <t xml:space="preserve">Net change in cash </t>
  </si>
  <si>
    <t xml:space="preserve">Beginning cash </t>
  </si>
  <si>
    <t xml:space="preserve">Ending cash </t>
  </si>
  <si>
    <t xml:space="preserve">Ending Balance sheet </t>
  </si>
  <si>
    <t xml:space="preserve">Beginning Balance sheet </t>
  </si>
  <si>
    <t xml:space="preserve">Beginning Retained earnings </t>
  </si>
  <si>
    <t xml:space="preserve">Dividends </t>
  </si>
  <si>
    <t xml:space="preserve">Ending Retained earnings </t>
  </si>
  <si>
    <t>Connections between the statements</t>
  </si>
  <si>
    <t>The net income is the end of the IS and the beginning of the CF statement</t>
  </si>
  <si>
    <t>The net income also affects the Retained earnings account on the BS</t>
  </si>
  <si>
    <t>The cash on the beginning BS is the beginning cash on the CF statement</t>
  </si>
  <si>
    <t>Explanations of the connections:</t>
  </si>
  <si>
    <t xml:space="preserve">Total Equity </t>
  </si>
  <si>
    <t>The change in cash from the CF statement plus the beginning cash is equal to the ending cash on the BS</t>
  </si>
  <si>
    <t xml:space="preserve">Coffee Life - Income statement </t>
  </si>
  <si>
    <t xml:space="preserve">Net income margin </t>
  </si>
  <si>
    <t xml:space="preserve">Operating income margin </t>
  </si>
  <si>
    <t>Cash inflow/outflow from investing</t>
  </si>
  <si>
    <t>Cash inflow/outflow from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</si>
</sst>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 &quot;#,##0.0_);_(&quot;$ &quot;\(#,##0.0\)"/>
    <numFmt numFmtId="165" formatCode="#,##0.0_);\(#,##0.0\)"/>
    <numFmt numFmtId="166" formatCode="_(&quot;$ &quot;#,##0_);_(&quot;$ &quot;\(#,##0\)"/>
    <numFmt numFmtId="167" formatCode="_(&quot;$ &quot;#,##0.00_);_(&quot;$ &quot;\(#,##0.00\)"/>
    <numFmt numFmtId="168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C000"/>
      <name val="Arial"/>
      <family val="2"/>
    </font>
    <font>
      <sz val="11"/>
      <color rgb="FFFFC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37" fontId="4" fillId="0" borderId="0" xfId="0" applyNumberFormat="1" applyFont="1" applyAlignment="1">
      <alignment horizontal="right" vertical="top"/>
    </xf>
    <xf numFmtId="0" fontId="4" fillId="0" borderId="1" xfId="0" applyFont="1" applyBorder="1" applyAlignment="1">
      <alignment vertical="top" wrapText="1"/>
    </xf>
    <xf numFmtId="37" fontId="4" fillId="0" borderId="1" xfId="0" applyNumberFormat="1" applyFont="1" applyBorder="1" applyAlignment="1">
      <alignment horizontal="right" vertical="top"/>
    </xf>
    <xf numFmtId="37" fontId="3" fillId="0" borderId="0" xfId="0" applyNumberFormat="1" applyFont="1" applyAlignment="1">
      <alignment horizontal="right" vertical="top"/>
    </xf>
    <xf numFmtId="0" fontId="5" fillId="0" borderId="0" xfId="0" applyFont="1"/>
    <xf numFmtId="0" fontId="2" fillId="0" borderId="1" xfId="0" applyFont="1" applyBorder="1"/>
    <xf numFmtId="37" fontId="5" fillId="0" borderId="0" xfId="0" applyNumberFormat="1" applyFont="1"/>
    <xf numFmtId="0" fontId="6" fillId="0" borderId="0" xfId="0" applyFont="1"/>
    <xf numFmtId="0" fontId="2" fillId="2" borderId="0" xfId="0" applyFont="1" applyFill="1"/>
    <xf numFmtId="0" fontId="2" fillId="5" borderId="0" xfId="0" applyFont="1" applyFill="1"/>
    <xf numFmtId="0" fontId="5" fillId="3" borderId="0" xfId="0" applyFont="1" applyFill="1"/>
    <xf numFmtId="0" fontId="5" fillId="0" borderId="1" xfId="0" applyFont="1" applyBorder="1"/>
    <xf numFmtId="0" fontId="5" fillId="5" borderId="0" xfId="0" applyFont="1" applyFill="1"/>
    <xf numFmtId="0" fontId="2" fillId="7" borderId="0" xfId="0" applyFont="1" applyFill="1"/>
    <xf numFmtId="0" fontId="2" fillId="6" borderId="0" xfId="0" applyFont="1" applyFill="1"/>
    <xf numFmtId="0" fontId="5" fillId="7" borderId="0" xfId="0" applyFont="1" applyFill="1"/>
    <xf numFmtId="0" fontId="2" fillId="3" borderId="0" xfId="0" applyFont="1" applyFill="1"/>
    <xf numFmtId="0" fontId="5" fillId="6" borderId="0" xfId="0" applyFont="1" applyFill="1"/>
    <xf numFmtId="0" fontId="2" fillId="4" borderId="0" xfId="0" applyFont="1" applyFill="1"/>
    <xf numFmtId="0" fontId="7" fillId="0" borderId="0" xfId="0" applyFont="1"/>
    <xf numFmtId="166" fontId="4" fillId="0" borderId="0" xfId="0" applyNumberFormat="1" applyFont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8" fontId="4" fillId="0" borderId="0" xfId="1" applyNumberFormat="1" applyFont="1" applyAlignment="1">
      <alignment horizontal="right" vertical="top"/>
    </xf>
    <xf numFmtId="0" fontId="4" fillId="0" borderId="2" xfId="0" applyFont="1" applyBorder="1" applyAlignment="1">
      <alignment vertical="top" wrapText="1"/>
    </xf>
    <xf numFmtId="167" fontId="4" fillId="0" borderId="0" xfId="0" applyNumberFormat="1" applyFont="1" applyAlignment="1">
      <alignment horizontal="right" vertical="top"/>
    </xf>
    <xf numFmtId="0" fontId="3" fillId="0" borderId="1" xfId="0" applyFont="1" applyBorder="1" applyAlignment="1">
      <alignment horizontal="left" vertical="center" wrapText="1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2" fillId="0" borderId="0" xfId="0" applyNumberFormat="1" applyFont="1"/>
    <xf numFmtId="165" fontId="4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vertical="top" wrapText="1"/>
    </xf>
    <xf numFmtId="165" fontId="3" fillId="0" borderId="1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21</xdr:row>
      <xdr:rowOff>95250</xdr:rowOff>
    </xdr:from>
    <xdr:to>
      <xdr:col>0</xdr:col>
      <xdr:colOff>561975</xdr:colOff>
      <xdr:row>29</xdr:row>
      <xdr:rowOff>57150</xdr:rowOff>
    </xdr:to>
    <xdr:sp macro="" textlink="">
      <xdr:nvSpPr>
        <xdr:cNvPr id="2" name="Curved Right Arrow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0500" y="3905250"/>
          <a:ext cx="371475" cy="1485900"/>
        </a:xfrm>
        <a:prstGeom prst="curvedRightArrow">
          <a:avLst>
            <a:gd name="adj1" fmla="val 25000"/>
            <a:gd name="adj2" fmla="val 68092"/>
            <a:gd name="adj3" fmla="val 25000"/>
          </a:avLst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418824</xdr:colOff>
      <xdr:row>20</xdr:row>
      <xdr:rowOff>54976</xdr:rowOff>
    </xdr:from>
    <xdr:to>
      <xdr:col>2</xdr:col>
      <xdr:colOff>814269</xdr:colOff>
      <xdr:row>37</xdr:row>
      <xdr:rowOff>57943</xdr:rowOff>
    </xdr:to>
    <xdr:sp macro="" textlink="">
      <xdr:nvSpPr>
        <xdr:cNvPr id="5" name="Curved Right Arrow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 rot="12554465">
          <a:off x="2923899" y="3674476"/>
          <a:ext cx="395445" cy="3050967"/>
        </a:xfrm>
        <a:prstGeom prst="curvedRightArrow">
          <a:avLst>
            <a:gd name="adj1" fmla="val 25000"/>
            <a:gd name="adj2" fmla="val 68092"/>
            <a:gd name="adj3" fmla="val 25000"/>
          </a:avLst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1"/>
  <sheetViews>
    <sheetView tabSelected="1" workbookViewId="0"/>
  </sheetViews>
  <sheetFormatPr defaultRowHeight="13.8" x14ac:dyDescent="0.45"/>
  <cols>
    <col min="1" max="1" width="3.68359375" style="1" customWidth="1"/>
    <col min="2" max="2" width="52.68359375" style="1" customWidth="1"/>
    <col min="3" max="5" width="15.68359375" style="1" customWidth="1"/>
    <col min="6" max="16384" width="8.83984375" style="1"/>
  </cols>
  <sheetData>
    <row r="2" spans="2:8" ht="14.1" x14ac:dyDescent="0.5">
      <c r="B2" s="13" t="s">
        <v>62</v>
      </c>
    </row>
    <row r="4" spans="2:8" ht="14.1" x14ac:dyDescent="0.45">
      <c r="B4" s="32" t="s">
        <v>74</v>
      </c>
      <c r="C4" s="3">
        <v>43465</v>
      </c>
      <c r="D4" s="3">
        <v>43830</v>
      </c>
      <c r="E4" s="3">
        <v>43921</v>
      </c>
    </row>
    <row r="5" spans="2:8" ht="14.1" x14ac:dyDescent="0.45">
      <c r="B5" s="4" t="s">
        <v>28</v>
      </c>
    </row>
    <row r="6" spans="2:8" x14ac:dyDescent="0.45">
      <c r="B6" s="5" t="s">
        <v>27</v>
      </c>
      <c r="C6" s="33">
        <v>432</v>
      </c>
      <c r="D6" s="33">
        <v>500</v>
      </c>
      <c r="E6" s="34">
        <v>516</v>
      </c>
    </row>
    <row r="7" spans="2:8" x14ac:dyDescent="0.45">
      <c r="B7" s="5" t="s">
        <v>26</v>
      </c>
      <c r="C7" s="34">
        <v>3108</v>
      </c>
      <c r="D7" s="34">
        <v>3579</v>
      </c>
      <c r="E7" s="34">
        <v>2050</v>
      </c>
    </row>
    <row r="8" spans="2:8" x14ac:dyDescent="0.45">
      <c r="B8" s="5" t="s">
        <v>59</v>
      </c>
      <c r="C8" s="34">
        <v>1790</v>
      </c>
      <c r="D8" s="34">
        <v>2114</v>
      </c>
      <c r="E8" s="34">
        <v>1550</v>
      </c>
    </row>
    <row r="9" spans="2:8" x14ac:dyDescent="0.45">
      <c r="B9" s="5" t="s">
        <v>60</v>
      </c>
      <c r="C9" s="34">
        <v>560</v>
      </c>
      <c r="D9" s="34">
        <v>470</v>
      </c>
      <c r="E9" s="34">
        <v>310</v>
      </c>
    </row>
    <row r="10" spans="2:8" ht="14.1" x14ac:dyDescent="0.45">
      <c r="B10" s="4" t="s">
        <v>24</v>
      </c>
      <c r="C10" s="35">
        <f>SUM(C6:C9)</f>
        <v>5890</v>
      </c>
      <c r="D10" s="35">
        <f>SUM(D6:D9)</f>
        <v>6663</v>
      </c>
      <c r="E10" s="35">
        <f>SUM(E6:E9)</f>
        <v>4426</v>
      </c>
    </row>
    <row r="11" spans="2:8" x14ac:dyDescent="0.45">
      <c r="B11" s="5" t="s">
        <v>23</v>
      </c>
      <c r="C11" s="34">
        <v>10340</v>
      </c>
      <c r="D11" s="34">
        <v>12075</v>
      </c>
      <c r="E11" s="34">
        <v>14115</v>
      </c>
      <c r="G11" s="36"/>
      <c r="H11" s="36"/>
    </row>
    <row r="12" spans="2:8" x14ac:dyDescent="0.45">
      <c r="B12" s="5" t="s">
        <v>22</v>
      </c>
      <c r="C12" s="34">
        <v>450</v>
      </c>
      <c r="D12" s="34">
        <v>479</v>
      </c>
      <c r="E12" s="34">
        <v>479</v>
      </c>
      <c r="G12" s="34"/>
    </row>
    <row r="13" spans="2:8" x14ac:dyDescent="0.45">
      <c r="B13" s="5" t="s">
        <v>61</v>
      </c>
      <c r="C13" s="34">
        <v>1040</v>
      </c>
      <c r="D13" s="34">
        <v>800</v>
      </c>
      <c r="E13" s="34">
        <v>740</v>
      </c>
      <c r="G13" s="34"/>
    </row>
    <row r="14" spans="2:8" x14ac:dyDescent="0.45">
      <c r="B14" s="7" t="s">
        <v>21</v>
      </c>
      <c r="C14" s="37">
        <v>3300</v>
      </c>
      <c r="D14" s="37">
        <v>3300</v>
      </c>
      <c r="E14" s="37">
        <v>3300</v>
      </c>
    </row>
    <row r="15" spans="2:8" ht="14.1" x14ac:dyDescent="0.45">
      <c r="B15" s="4" t="s">
        <v>20</v>
      </c>
      <c r="C15" s="35">
        <f>SUM(C10:C14)</f>
        <v>21020</v>
      </c>
      <c r="D15" s="35">
        <f>SUM(D10:D14)</f>
        <v>23317</v>
      </c>
      <c r="E15" s="35">
        <f>SUM(E10:E14)</f>
        <v>23060</v>
      </c>
      <c r="G15" s="36"/>
    </row>
    <row r="16" spans="2:8" ht="14.1" x14ac:dyDescent="0.45">
      <c r="B16" s="4" t="s">
        <v>19</v>
      </c>
    </row>
    <row r="17" spans="2:7" x14ac:dyDescent="0.45">
      <c r="B17" s="5" t="s">
        <v>18</v>
      </c>
      <c r="C17" s="34">
        <v>1180</v>
      </c>
      <c r="D17" s="34">
        <v>1315</v>
      </c>
      <c r="E17" s="34">
        <v>1570</v>
      </c>
    </row>
    <row r="18" spans="2:7" x14ac:dyDescent="0.45">
      <c r="B18" s="5" t="s">
        <v>17</v>
      </c>
      <c r="C18" s="34">
        <v>1710</v>
      </c>
      <c r="D18" s="34">
        <v>1911</v>
      </c>
      <c r="E18" s="34">
        <v>2045</v>
      </c>
    </row>
    <row r="19" spans="2:7" x14ac:dyDescent="0.45">
      <c r="B19" s="5" t="s">
        <v>16</v>
      </c>
      <c r="C19" s="34">
        <v>735</v>
      </c>
      <c r="D19" s="34">
        <v>890</v>
      </c>
      <c r="E19" s="34">
        <v>900</v>
      </c>
    </row>
    <row r="20" spans="2:7" x14ac:dyDescent="0.45">
      <c r="B20" s="5" t="s">
        <v>63</v>
      </c>
      <c r="C20" s="34">
        <v>1605</v>
      </c>
      <c r="D20" s="34">
        <v>1833</v>
      </c>
      <c r="E20" s="34">
        <v>1750</v>
      </c>
      <c r="G20" s="36"/>
    </row>
    <row r="21" spans="2:7" ht="14.1" x14ac:dyDescent="0.45">
      <c r="B21" s="4" t="s">
        <v>15</v>
      </c>
      <c r="C21" s="35">
        <f>SUM(C17:C20)</f>
        <v>5230</v>
      </c>
      <c r="D21" s="35">
        <f>SUM(D17:D20)</f>
        <v>5949</v>
      </c>
      <c r="E21" s="35">
        <f>SUM(E17:E20)</f>
        <v>6265</v>
      </c>
    </row>
    <row r="22" spans="2:7" x14ac:dyDescent="0.45">
      <c r="B22" s="5" t="s">
        <v>14</v>
      </c>
      <c r="C22" s="34">
        <v>7500</v>
      </c>
      <c r="D22" s="34">
        <v>8000</v>
      </c>
      <c r="E22" s="34">
        <v>7000</v>
      </c>
    </row>
    <row r="23" spans="2:7" x14ac:dyDescent="0.45">
      <c r="B23" s="5" t="s">
        <v>64</v>
      </c>
      <c r="C23" s="34">
        <v>1500</v>
      </c>
      <c r="D23" s="34">
        <v>1500</v>
      </c>
      <c r="E23" s="34">
        <v>1500</v>
      </c>
    </row>
    <row r="24" spans="2:7" ht="14.1" x14ac:dyDescent="0.45">
      <c r="B24" s="4" t="s">
        <v>13</v>
      </c>
      <c r="C24" s="35">
        <f>SUM(C21:C23)</f>
        <v>14230</v>
      </c>
      <c r="D24" s="35">
        <f>SUM(D21:D23)</f>
        <v>15449</v>
      </c>
      <c r="E24" s="35">
        <f>SUM(E21:E23)</f>
        <v>14765</v>
      </c>
    </row>
    <row r="25" spans="2:7" ht="14.1" x14ac:dyDescent="0.45">
      <c r="B25" s="4" t="s">
        <v>12</v>
      </c>
    </row>
    <row r="26" spans="2:7" x14ac:dyDescent="0.45">
      <c r="B26" s="5" t="s">
        <v>65</v>
      </c>
      <c r="C26" s="34">
        <v>1100</v>
      </c>
      <c r="D26" s="34">
        <v>1100</v>
      </c>
      <c r="E26" s="34">
        <v>1100</v>
      </c>
    </row>
    <row r="27" spans="2:7" x14ac:dyDescent="0.45">
      <c r="B27" s="5" t="s">
        <v>66</v>
      </c>
      <c r="C27" s="34">
        <v>5690</v>
      </c>
      <c r="D27" s="34">
        <f>C27+'Income statement'!C24+'Cash flow statement'!C29</f>
        <v>6768</v>
      </c>
      <c r="E27" s="34">
        <f>D27+'Income statement'!D24+'Cash flow statement'!D29</f>
        <v>7195</v>
      </c>
    </row>
    <row r="28" spans="2:7" ht="14.1" x14ac:dyDescent="0.45">
      <c r="B28" s="38" t="s">
        <v>11</v>
      </c>
      <c r="C28" s="39">
        <f>SUM(C26:C27)</f>
        <v>6790</v>
      </c>
      <c r="D28" s="39">
        <f>SUM(D26:D27)</f>
        <v>7868</v>
      </c>
      <c r="E28" s="39">
        <f>SUM(E26:E27)</f>
        <v>8295</v>
      </c>
    </row>
    <row r="29" spans="2:7" ht="14.1" x14ac:dyDescent="0.45">
      <c r="B29" s="4" t="s">
        <v>10</v>
      </c>
      <c r="C29" s="40">
        <f>C24+C28</f>
        <v>21020</v>
      </c>
      <c r="D29" s="40">
        <f>D24+D28</f>
        <v>23317</v>
      </c>
      <c r="E29" s="40">
        <f>E24+E28</f>
        <v>23060</v>
      </c>
    </row>
    <row r="31" spans="2:7" x14ac:dyDescent="0.45">
      <c r="B31" s="1" t="s">
        <v>67</v>
      </c>
      <c r="C31" s="36">
        <f>C15-C29</f>
        <v>0</v>
      </c>
      <c r="D31" s="36">
        <f>D15-D29</f>
        <v>0</v>
      </c>
      <c r="E31" s="36">
        <f>E15-E29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9"/>
  <sheetViews>
    <sheetView workbookViewId="0"/>
  </sheetViews>
  <sheetFormatPr defaultRowHeight="13.8" x14ac:dyDescent="0.45"/>
  <cols>
    <col min="1" max="1" width="4.15625" style="1" customWidth="1"/>
    <col min="2" max="2" width="62.41796875" style="1" customWidth="1"/>
    <col min="3" max="4" width="15.68359375" style="1" customWidth="1"/>
    <col min="5" max="16384" width="8.83984375" style="1"/>
  </cols>
  <sheetData>
    <row r="2" spans="2:4" ht="14.1" x14ac:dyDescent="0.5">
      <c r="B2" s="13" t="s">
        <v>117</v>
      </c>
    </row>
    <row r="4" spans="2:4" ht="14.1" x14ac:dyDescent="0.45">
      <c r="B4" s="2" t="s">
        <v>73</v>
      </c>
      <c r="C4" s="3">
        <v>43830</v>
      </c>
      <c r="D4" s="3">
        <v>43921</v>
      </c>
    </row>
    <row r="5" spans="2:4" ht="14.1" x14ac:dyDescent="0.45">
      <c r="B5" s="4"/>
    </row>
    <row r="6" spans="2:4" x14ac:dyDescent="0.45">
      <c r="B6" s="5" t="s">
        <v>51</v>
      </c>
      <c r="C6" s="26">
        <v>22350</v>
      </c>
      <c r="D6" s="26">
        <v>6553</v>
      </c>
    </row>
    <row r="7" spans="2:4" x14ac:dyDescent="0.45">
      <c r="B7" s="7" t="s">
        <v>9</v>
      </c>
      <c r="C7" s="27">
        <v>9899</v>
      </c>
      <c r="D7" s="27">
        <v>2883</v>
      </c>
    </row>
    <row r="8" spans="2:4" ht="14.1" x14ac:dyDescent="0.45">
      <c r="B8" s="4" t="s">
        <v>52</v>
      </c>
      <c r="C8" s="28">
        <f>C6-C7</f>
        <v>12451</v>
      </c>
      <c r="D8" s="28">
        <f>D6-D7</f>
        <v>3670</v>
      </c>
    </row>
    <row r="9" spans="2:4" x14ac:dyDescent="0.45">
      <c r="B9" s="5"/>
      <c r="C9" s="29"/>
      <c r="D9" s="29"/>
    </row>
    <row r="10" spans="2:4" x14ac:dyDescent="0.45">
      <c r="B10" s="5" t="s">
        <v>53</v>
      </c>
      <c r="C10" s="26">
        <v>2895</v>
      </c>
      <c r="D10" s="26">
        <v>786</v>
      </c>
    </row>
    <row r="11" spans="2:4" x14ac:dyDescent="0.45">
      <c r="B11" s="5" t="s">
        <v>54</v>
      </c>
      <c r="C11" s="26">
        <v>679</v>
      </c>
      <c r="D11" s="26">
        <v>315</v>
      </c>
    </row>
    <row r="12" spans="2:4" x14ac:dyDescent="0.45">
      <c r="B12" s="5" t="s">
        <v>8</v>
      </c>
      <c r="C12" s="26">
        <v>2450</v>
      </c>
      <c r="D12" s="26">
        <v>655</v>
      </c>
    </row>
    <row r="13" spans="2:4" x14ac:dyDescent="0.45">
      <c r="B13" s="5" t="s">
        <v>6</v>
      </c>
      <c r="C13" s="26">
        <v>1378</v>
      </c>
      <c r="D13" s="26">
        <v>520</v>
      </c>
    </row>
    <row r="14" spans="2:4" x14ac:dyDescent="0.45">
      <c r="B14" s="5" t="s">
        <v>5</v>
      </c>
      <c r="C14" s="26">
        <v>987</v>
      </c>
      <c r="D14" s="26">
        <v>305</v>
      </c>
    </row>
    <row r="15" spans="2:4" x14ac:dyDescent="0.45">
      <c r="B15" s="5" t="s">
        <v>7</v>
      </c>
      <c r="C15" s="26">
        <v>569</v>
      </c>
      <c r="D15" s="26">
        <v>128</v>
      </c>
    </row>
    <row r="16" spans="2:4" x14ac:dyDescent="0.45">
      <c r="B16" s="7" t="s">
        <v>4</v>
      </c>
      <c r="C16" s="27">
        <f>SUM(C10:C15)</f>
        <v>8958</v>
      </c>
      <c r="D16" s="27">
        <f>SUM(D10:D15)</f>
        <v>2709</v>
      </c>
    </row>
    <row r="17" spans="2:4" ht="14.1" x14ac:dyDescent="0.45">
      <c r="B17" s="4" t="s">
        <v>3</v>
      </c>
      <c r="C17" s="28">
        <f>C8-C16</f>
        <v>3493</v>
      </c>
      <c r="D17" s="28">
        <f>D8-D16</f>
        <v>961</v>
      </c>
    </row>
    <row r="18" spans="2:4" x14ac:dyDescent="0.45">
      <c r="B18" s="5" t="s">
        <v>119</v>
      </c>
      <c r="C18" s="29">
        <f>C17/C6</f>
        <v>0.15628635346756153</v>
      </c>
      <c r="D18" s="29">
        <f>D17/D6</f>
        <v>0.14665038913474746</v>
      </c>
    </row>
    <row r="19" spans="2:4" x14ac:dyDescent="0.45">
      <c r="B19" s="5"/>
      <c r="C19" s="29"/>
      <c r="D19" s="29"/>
    </row>
    <row r="20" spans="2:4" x14ac:dyDescent="0.45">
      <c r="B20" s="5" t="s">
        <v>2</v>
      </c>
      <c r="C20" s="26">
        <v>630</v>
      </c>
      <c r="D20" s="26">
        <v>190</v>
      </c>
    </row>
    <row r="21" spans="2:4" x14ac:dyDescent="0.45">
      <c r="B21" s="7" t="s">
        <v>55</v>
      </c>
      <c r="C21" s="27">
        <v>25</v>
      </c>
      <c r="D21" s="27">
        <v>207</v>
      </c>
    </row>
    <row r="22" spans="2:4" x14ac:dyDescent="0.45">
      <c r="B22" s="30" t="s">
        <v>56</v>
      </c>
      <c r="C22" s="26">
        <f>C17-C20+C21</f>
        <v>2888</v>
      </c>
      <c r="D22" s="26">
        <f>D17-D20+D21</f>
        <v>978</v>
      </c>
    </row>
    <row r="23" spans="2:4" x14ac:dyDescent="0.45">
      <c r="B23" s="7" t="s">
        <v>57</v>
      </c>
      <c r="C23" s="27">
        <v>560</v>
      </c>
      <c r="D23" s="27">
        <v>201</v>
      </c>
    </row>
    <row r="24" spans="2:4" ht="14.1" x14ac:dyDescent="0.45">
      <c r="B24" s="4" t="s">
        <v>58</v>
      </c>
      <c r="C24" s="28">
        <f>C22-C23</f>
        <v>2328</v>
      </c>
      <c r="D24" s="28">
        <f>D22-D23</f>
        <v>777</v>
      </c>
    </row>
    <row r="25" spans="2:4" x14ac:dyDescent="0.45">
      <c r="B25" s="5" t="s">
        <v>118</v>
      </c>
      <c r="C25" s="29">
        <f>C24/C6</f>
        <v>0.10416107382550335</v>
      </c>
      <c r="D25" s="29">
        <f>D24/D6</f>
        <v>0.11857164657408821</v>
      </c>
    </row>
    <row r="26" spans="2:4" x14ac:dyDescent="0.45">
      <c r="B26" s="5"/>
      <c r="C26" s="29"/>
      <c r="D26" s="29"/>
    </row>
    <row r="27" spans="2:4" ht="14.1" x14ac:dyDescent="0.45">
      <c r="B27" s="4" t="s">
        <v>1</v>
      </c>
    </row>
    <row r="28" spans="2:4" x14ac:dyDescent="0.45">
      <c r="B28" s="5" t="s">
        <v>0</v>
      </c>
      <c r="C28" s="6">
        <v>1200</v>
      </c>
      <c r="D28" s="6">
        <v>1200</v>
      </c>
    </row>
    <row r="29" spans="2:4" x14ac:dyDescent="0.45">
      <c r="B29" s="5" t="s">
        <v>72</v>
      </c>
      <c r="C29" s="31">
        <f>C24/C28</f>
        <v>1.94</v>
      </c>
      <c r="D29" s="31">
        <f>D24/D28</f>
        <v>0.64749999999999996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38"/>
  <sheetViews>
    <sheetView workbookViewId="0"/>
  </sheetViews>
  <sheetFormatPr defaultRowHeight="13.8" x14ac:dyDescent="0.45"/>
  <cols>
    <col min="1" max="1" width="3.578125" style="1" customWidth="1"/>
    <col min="2" max="2" width="53" style="1" customWidth="1"/>
    <col min="3" max="4" width="15.68359375" style="1" customWidth="1"/>
    <col min="5" max="16384" width="8.83984375" style="1"/>
  </cols>
  <sheetData>
    <row r="2" spans="2:4" ht="14.1" x14ac:dyDescent="0.5">
      <c r="B2" s="13" t="s">
        <v>39</v>
      </c>
    </row>
    <row r="4" spans="2:4" ht="14.1" x14ac:dyDescent="0.45">
      <c r="B4" s="2" t="s">
        <v>75</v>
      </c>
      <c r="C4" s="3">
        <v>43830</v>
      </c>
      <c r="D4" s="3">
        <v>43921</v>
      </c>
    </row>
    <row r="5" spans="2:4" ht="14.1" x14ac:dyDescent="0.45">
      <c r="B5" s="4"/>
    </row>
    <row r="6" spans="2:4" x14ac:dyDescent="0.45">
      <c r="B6" s="5" t="s">
        <v>40</v>
      </c>
      <c r="C6" s="6">
        <f>'Income statement'!C24</f>
        <v>2328</v>
      </c>
      <c r="D6" s="1">
        <f>'Income statement'!D24</f>
        <v>777</v>
      </c>
    </row>
    <row r="7" spans="2:4" ht="14.1" x14ac:dyDescent="0.45">
      <c r="B7" s="4" t="s">
        <v>46</v>
      </c>
    </row>
    <row r="8" spans="2:4" x14ac:dyDescent="0.45">
      <c r="B8" s="5" t="s">
        <v>38</v>
      </c>
      <c r="C8" s="6">
        <f>'Income statement'!C13</f>
        <v>1378</v>
      </c>
      <c r="D8" s="1">
        <f>'Income statement'!D13</f>
        <v>520</v>
      </c>
    </row>
    <row r="9" spans="2:4" x14ac:dyDescent="0.45">
      <c r="B9" s="5" t="s">
        <v>41</v>
      </c>
      <c r="C9" s="6">
        <v>0</v>
      </c>
      <c r="D9" s="6">
        <v>-200</v>
      </c>
    </row>
    <row r="10" spans="2:4" ht="14.1" x14ac:dyDescent="0.45">
      <c r="B10" s="4" t="s">
        <v>47</v>
      </c>
    </row>
    <row r="11" spans="2:4" x14ac:dyDescent="0.45">
      <c r="B11" s="5" t="s">
        <v>37</v>
      </c>
      <c r="C11" s="6">
        <f>'Balance sheet'!C7-'Balance sheet'!D7</f>
        <v>-471</v>
      </c>
      <c r="D11" s="6">
        <f>'Balance sheet'!D7-'Balance sheet'!E7</f>
        <v>1529</v>
      </c>
    </row>
    <row r="12" spans="2:4" x14ac:dyDescent="0.45">
      <c r="B12" s="5" t="s">
        <v>25</v>
      </c>
      <c r="C12" s="6">
        <f>'Balance sheet'!C8-'Balance sheet'!D8</f>
        <v>-324</v>
      </c>
      <c r="D12" s="6">
        <f>'Balance sheet'!D8-'Balance sheet'!E8</f>
        <v>564</v>
      </c>
    </row>
    <row r="13" spans="2:4" x14ac:dyDescent="0.45">
      <c r="B13" s="5" t="s">
        <v>18</v>
      </c>
      <c r="C13" s="6">
        <f>'Balance sheet'!D17-'Balance sheet'!C17</f>
        <v>135</v>
      </c>
      <c r="D13" s="6">
        <f>'Balance sheet'!E17-'Balance sheet'!D17</f>
        <v>255</v>
      </c>
    </row>
    <row r="14" spans="2:4" x14ac:dyDescent="0.45">
      <c r="B14" s="7" t="s">
        <v>36</v>
      </c>
      <c r="C14" s="8">
        <f>('Balance sheet'!C9-'Balance sheet'!D9)+('Balance sheet'!D18-'Balance sheet'!C18)+('Balance sheet'!D19-'Balance sheet'!C19)</f>
        <v>446</v>
      </c>
      <c r="D14" s="8">
        <f>('Balance sheet'!D9-'Balance sheet'!E9)+('Balance sheet'!E18-'Balance sheet'!D18)+('Balance sheet'!E19-'Balance sheet'!D19)</f>
        <v>304</v>
      </c>
    </row>
    <row r="15" spans="2:4" ht="14.1" x14ac:dyDescent="0.45">
      <c r="B15" s="4" t="s">
        <v>42</v>
      </c>
      <c r="C15" s="9">
        <f>SUM(C6:C14)</f>
        <v>3492</v>
      </c>
      <c r="D15" s="9">
        <f>SUM(D6:D14)</f>
        <v>3749</v>
      </c>
    </row>
    <row r="16" spans="2:4" ht="14.1" x14ac:dyDescent="0.5">
      <c r="B16" s="4"/>
      <c r="C16" s="10"/>
    </row>
    <row r="17" spans="2:4" x14ac:dyDescent="0.45">
      <c r="B17" s="5" t="s">
        <v>43</v>
      </c>
      <c r="C17" s="6">
        <f>'Balance sheet'!C11-'Balance sheet'!D11+'Balance sheet'!C13-'Balance sheet'!D13-'Income statement'!C13</f>
        <v>-2873</v>
      </c>
      <c r="D17" s="6">
        <v>-3500</v>
      </c>
    </row>
    <row r="18" spans="2:4" x14ac:dyDescent="0.45">
      <c r="B18" s="5" t="s">
        <v>44</v>
      </c>
      <c r="C18" s="6">
        <v>0</v>
      </c>
      <c r="D18" s="6">
        <v>1200</v>
      </c>
    </row>
    <row r="19" spans="2:4" x14ac:dyDescent="0.45">
      <c r="B19" s="5" t="s">
        <v>45</v>
      </c>
      <c r="C19" s="6">
        <f>'Balance sheet'!C12-'Balance sheet'!D12</f>
        <v>-29</v>
      </c>
      <c r="D19" s="6">
        <v>0</v>
      </c>
    </row>
    <row r="20" spans="2:4" x14ac:dyDescent="0.45">
      <c r="B20" s="5" t="s">
        <v>35</v>
      </c>
      <c r="C20" s="6">
        <v>0</v>
      </c>
      <c r="D20" s="6">
        <v>0</v>
      </c>
    </row>
    <row r="21" spans="2:4" x14ac:dyDescent="0.45">
      <c r="B21" s="7" t="s">
        <v>31</v>
      </c>
      <c r="C21" s="8">
        <v>0</v>
      </c>
      <c r="D21" s="11">
        <v>0</v>
      </c>
    </row>
    <row r="22" spans="2:4" ht="14.1" x14ac:dyDescent="0.45">
      <c r="B22" s="4" t="s">
        <v>48</v>
      </c>
      <c r="C22" s="9">
        <f>SUM(C17:C21)</f>
        <v>-2902</v>
      </c>
      <c r="D22" s="9">
        <f>SUM(D17:D21)</f>
        <v>-2300</v>
      </c>
    </row>
    <row r="23" spans="2:4" ht="14.1" x14ac:dyDescent="0.45">
      <c r="B23" s="4"/>
    </row>
    <row r="24" spans="2:4" x14ac:dyDescent="0.45">
      <c r="B24" s="5" t="s">
        <v>68</v>
      </c>
      <c r="C24" s="6">
        <f>'Balance sheet'!D20-'Balance sheet'!C20+1000</f>
        <v>1228</v>
      </c>
      <c r="D24" s="6">
        <f>'Balance sheet'!E20-'Balance sheet'!D20+1200</f>
        <v>1117</v>
      </c>
    </row>
    <row r="25" spans="2:4" x14ac:dyDescent="0.45">
      <c r="B25" s="5" t="s">
        <v>69</v>
      </c>
      <c r="C25" s="6">
        <v>-1000</v>
      </c>
      <c r="D25" s="6">
        <v>-1200</v>
      </c>
    </row>
    <row r="26" spans="2:4" x14ac:dyDescent="0.45">
      <c r="B26" s="5" t="s">
        <v>70</v>
      </c>
      <c r="C26" s="6">
        <f>'Balance sheet'!D22-'Balance sheet'!C22+3500</f>
        <v>4000</v>
      </c>
      <c r="D26" s="6">
        <v>0</v>
      </c>
    </row>
    <row r="27" spans="2:4" x14ac:dyDescent="0.45">
      <c r="B27" s="5" t="s">
        <v>71</v>
      </c>
      <c r="C27" s="6">
        <v>-3500</v>
      </c>
      <c r="D27" s="6">
        <f>'Balance sheet'!E22-'Balance sheet'!D22</f>
        <v>-1000</v>
      </c>
    </row>
    <row r="28" spans="2:4" x14ac:dyDescent="0.45">
      <c r="B28" s="5" t="s">
        <v>34</v>
      </c>
      <c r="C28" s="6">
        <v>0</v>
      </c>
      <c r="D28" s="6">
        <v>0</v>
      </c>
    </row>
    <row r="29" spans="2:4" x14ac:dyDescent="0.45">
      <c r="B29" s="5" t="s">
        <v>33</v>
      </c>
      <c r="C29" s="6">
        <v>-1250</v>
      </c>
      <c r="D29" s="6">
        <v>-350</v>
      </c>
    </row>
    <row r="30" spans="2:4" x14ac:dyDescent="0.45">
      <c r="B30" s="5" t="s">
        <v>32</v>
      </c>
      <c r="C30" s="6">
        <v>0</v>
      </c>
      <c r="D30" s="6">
        <v>0</v>
      </c>
    </row>
    <row r="31" spans="2:4" x14ac:dyDescent="0.45">
      <c r="B31" s="7" t="s">
        <v>31</v>
      </c>
      <c r="C31" s="8">
        <v>0</v>
      </c>
      <c r="D31" s="8">
        <v>0</v>
      </c>
    </row>
    <row r="32" spans="2:4" ht="14.1" x14ac:dyDescent="0.45">
      <c r="B32" s="4" t="s">
        <v>49</v>
      </c>
      <c r="C32" s="9">
        <f>SUM(C24:C31)</f>
        <v>-522</v>
      </c>
      <c r="D32" s="9">
        <f>SUM(D24:D31)</f>
        <v>-1433</v>
      </c>
    </row>
    <row r="33" spans="2:4" ht="14.1" x14ac:dyDescent="0.45">
      <c r="B33" s="4" t="s">
        <v>77</v>
      </c>
      <c r="C33" s="9">
        <f>C15+C22+C32</f>
        <v>68</v>
      </c>
      <c r="D33" s="9">
        <f>D15+D22+D32</f>
        <v>16</v>
      </c>
    </row>
    <row r="34" spans="2:4" x14ac:dyDescent="0.45">
      <c r="B34" s="5"/>
      <c r="C34" s="6"/>
    </row>
    <row r="35" spans="2:4" ht="14.1" x14ac:dyDescent="0.45">
      <c r="B35" s="4" t="s">
        <v>50</v>
      </c>
    </row>
    <row r="36" spans="2:4" x14ac:dyDescent="0.45">
      <c r="B36" s="5" t="s">
        <v>30</v>
      </c>
      <c r="C36" s="6">
        <f>'Balance sheet'!C6</f>
        <v>432</v>
      </c>
      <c r="D36" s="6">
        <f>'Balance sheet'!D6</f>
        <v>500</v>
      </c>
    </row>
    <row r="37" spans="2:4" x14ac:dyDescent="0.45">
      <c r="B37" s="7" t="s">
        <v>29</v>
      </c>
      <c r="C37" s="8">
        <f>'Balance sheet'!D6</f>
        <v>500</v>
      </c>
      <c r="D37" s="8">
        <f>'Balance sheet'!E6</f>
        <v>516</v>
      </c>
    </row>
    <row r="38" spans="2:4" ht="14.1" x14ac:dyDescent="0.5">
      <c r="B38" s="4" t="s">
        <v>76</v>
      </c>
      <c r="C38" s="12">
        <f>C37-C36</f>
        <v>68</v>
      </c>
      <c r="D38" s="12">
        <f>D37-D36</f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2"/>
  <sheetViews>
    <sheetView workbookViewId="0"/>
  </sheetViews>
  <sheetFormatPr defaultRowHeight="13.8" x14ac:dyDescent="0.45"/>
  <cols>
    <col min="1" max="1" width="8.83984375" style="1"/>
    <col min="2" max="2" width="28.41796875" style="1" customWidth="1"/>
    <col min="3" max="3" width="26.578125" style="1" customWidth="1"/>
    <col min="4" max="5" width="6.26171875" style="1" customWidth="1"/>
    <col min="6" max="6" width="31.578125" style="1" bestFit="1" customWidth="1"/>
    <col min="7" max="7" width="6.41796875" style="1" customWidth="1"/>
    <col min="8" max="8" width="6.578125" style="1" customWidth="1"/>
    <col min="9" max="9" width="34.68359375" style="1" bestFit="1" customWidth="1"/>
    <col min="10" max="16384" width="8.83984375" style="1"/>
  </cols>
  <sheetData>
    <row r="2" spans="2:9" ht="14.1" x14ac:dyDescent="0.5">
      <c r="B2" s="13" t="s">
        <v>110</v>
      </c>
      <c r="C2" s="25"/>
      <c r="D2" s="25"/>
      <c r="E2" s="25"/>
      <c r="F2" s="25"/>
      <c r="G2" s="25"/>
      <c r="H2" s="25"/>
      <c r="I2" s="25"/>
    </row>
    <row r="3" spans="2:9" x14ac:dyDescent="0.45">
      <c r="B3" s="25"/>
      <c r="C3" s="25"/>
      <c r="D3" s="25"/>
      <c r="E3" s="25"/>
      <c r="F3" s="25"/>
      <c r="G3" s="25"/>
      <c r="H3" s="25"/>
      <c r="I3" s="25"/>
    </row>
    <row r="4" spans="2:9" ht="14.1" x14ac:dyDescent="0.5">
      <c r="B4" s="13" t="s">
        <v>106</v>
      </c>
      <c r="C4" s="13" t="s">
        <v>105</v>
      </c>
      <c r="D4" s="13"/>
      <c r="E4" s="13"/>
      <c r="F4" s="13" t="s">
        <v>89</v>
      </c>
      <c r="G4" s="13"/>
      <c r="H4" s="13"/>
      <c r="I4" s="13" t="s">
        <v>99</v>
      </c>
    </row>
    <row r="6" spans="2:9" ht="14.1" x14ac:dyDescent="0.5">
      <c r="B6" s="14" t="s">
        <v>78</v>
      </c>
      <c r="C6" s="15" t="s">
        <v>78</v>
      </c>
      <c r="F6" s="1" t="s">
        <v>90</v>
      </c>
      <c r="I6" s="16" t="s">
        <v>58</v>
      </c>
    </row>
    <row r="7" spans="2:9" ht="14.1" x14ac:dyDescent="0.5">
      <c r="B7" s="10" t="s">
        <v>86</v>
      </c>
      <c r="C7" s="10" t="s">
        <v>86</v>
      </c>
      <c r="F7" s="10" t="s">
        <v>91</v>
      </c>
      <c r="I7" s="10" t="s">
        <v>86</v>
      </c>
    </row>
    <row r="8" spans="2:9" x14ac:dyDescent="0.45">
      <c r="B8" s="1" t="s">
        <v>80</v>
      </c>
      <c r="C8" s="1" t="s">
        <v>80</v>
      </c>
      <c r="F8" s="1" t="s">
        <v>92</v>
      </c>
      <c r="I8" s="1" t="s">
        <v>100</v>
      </c>
    </row>
    <row r="9" spans="2:9" ht="14.1" x14ac:dyDescent="0.5">
      <c r="B9" s="10" t="s">
        <v>86</v>
      </c>
      <c r="C9" s="10" t="s">
        <v>86</v>
      </c>
      <c r="F9" s="17" t="s">
        <v>87</v>
      </c>
      <c r="I9" s="11" t="s">
        <v>87</v>
      </c>
    </row>
    <row r="10" spans="2:9" x14ac:dyDescent="0.45">
      <c r="B10" s="1" t="s">
        <v>79</v>
      </c>
      <c r="C10" s="1" t="s">
        <v>79</v>
      </c>
      <c r="F10" s="1" t="s">
        <v>93</v>
      </c>
      <c r="I10" s="1" t="s">
        <v>101</v>
      </c>
    </row>
    <row r="11" spans="2:9" ht="14.1" x14ac:dyDescent="0.5">
      <c r="B11" s="17" t="s">
        <v>87</v>
      </c>
      <c r="C11" s="17" t="s">
        <v>87</v>
      </c>
      <c r="F11" s="10" t="s">
        <v>91</v>
      </c>
      <c r="I11" s="10" t="s">
        <v>86</v>
      </c>
    </row>
    <row r="12" spans="2:9" ht="14.1" x14ac:dyDescent="0.5">
      <c r="B12" s="10" t="s">
        <v>81</v>
      </c>
      <c r="C12" s="10" t="s">
        <v>81</v>
      </c>
      <c r="F12" s="1" t="s">
        <v>94</v>
      </c>
      <c r="I12" s="1" t="s">
        <v>120</v>
      </c>
    </row>
    <row r="13" spans="2:9" ht="14.1" x14ac:dyDescent="0.5">
      <c r="F13" s="11" t="s">
        <v>87</v>
      </c>
      <c r="I13" s="10" t="s">
        <v>86</v>
      </c>
    </row>
    <row r="14" spans="2:9" x14ac:dyDescent="0.45">
      <c r="B14" s="1" t="s">
        <v>82</v>
      </c>
      <c r="C14" s="1" t="s">
        <v>82</v>
      </c>
      <c r="F14" s="1" t="s">
        <v>95</v>
      </c>
      <c r="I14" s="1" t="s">
        <v>121</v>
      </c>
    </row>
    <row r="15" spans="2:9" ht="14.1" x14ac:dyDescent="0.5">
      <c r="B15" s="10" t="s">
        <v>86</v>
      </c>
      <c r="C15" s="10" t="s">
        <v>86</v>
      </c>
      <c r="F15" s="10" t="s">
        <v>91</v>
      </c>
      <c r="I15" s="17" t="s">
        <v>87</v>
      </c>
    </row>
    <row r="16" spans="2:9" ht="14.1" x14ac:dyDescent="0.5">
      <c r="B16" s="1" t="s">
        <v>83</v>
      </c>
      <c r="C16" s="1" t="s">
        <v>83</v>
      </c>
      <c r="F16" s="1" t="s">
        <v>96</v>
      </c>
      <c r="I16" s="10" t="s">
        <v>102</v>
      </c>
    </row>
    <row r="17" spans="2:9" ht="14.1" x14ac:dyDescent="0.5">
      <c r="B17" s="17" t="s">
        <v>87</v>
      </c>
      <c r="C17" s="17" t="s">
        <v>87</v>
      </c>
      <c r="F17" s="17" t="s">
        <v>87</v>
      </c>
      <c r="I17" s="10" t="s">
        <v>86</v>
      </c>
    </row>
    <row r="18" spans="2:9" ht="14.1" x14ac:dyDescent="0.5">
      <c r="B18" s="10" t="s">
        <v>84</v>
      </c>
      <c r="C18" s="10" t="s">
        <v>84</v>
      </c>
      <c r="F18" s="1" t="s">
        <v>97</v>
      </c>
      <c r="I18" s="14" t="s">
        <v>103</v>
      </c>
    </row>
    <row r="19" spans="2:9" ht="14.1" x14ac:dyDescent="0.5">
      <c r="F19" s="10" t="s">
        <v>91</v>
      </c>
      <c r="I19" s="17" t="s">
        <v>87</v>
      </c>
    </row>
    <row r="20" spans="2:9" ht="14.1" x14ac:dyDescent="0.5">
      <c r="B20" s="1" t="s">
        <v>85</v>
      </c>
      <c r="C20" s="1" t="s">
        <v>85</v>
      </c>
      <c r="F20" s="1" t="s">
        <v>98</v>
      </c>
      <c r="I20" s="18" t="s">
        <v>104</v>
      </c>
    </row>
    <row r="21" spans="2:9" ht="14.1" x14ac:dyDescent="0.5">
      <c r="B21" s="10" t="s">
        <v>86</v>
      </c>
      <c r="C21" s="10" t="s">
        <v>86</v>
      </c>
      <c r="F21" s="17" t="s">
        <v>87</v>
      </c>
    </row>
    <row r="22" spans="2:9" ht="14.1" x14ac:dyDescent="0.5">
      <c r="B22" s="19" t="s">
        <v>66</v>
      </c>
      <c r="C22" s="20" t="s">
        <v>66</v>
      </c>
      <c r="F22" s="16" t="s">
        <v>40</v>
      </c>
    </row>
    <row r="23" spans="2:9" x14ac:dyDescent="0.45">
      <c r="B23" s="11" t="s">
        <v>87</v>
      </c>
      <c r="C23" s="11" t="s">
        <v>87</v>
      </c>
    </row>
    <row r="24" spans="2:9" ht="14.1" x14ac:dyDescent="0.5">
      <c r="B24" s="10" t="s">
        <v>115</v>
      </c>
      <c r="C24" s="10" t="s">
        <v>115</v>
      </c>
    </row>
    <row r="26" spans="2:9" ht="14.1" x14ac:dyDescent="0.5">
      <c r="B26" s="10" t="s">
        <v>88</v>
      </c>
      <c r="C26" s="10" t="s">
        <v>88</v>
      </c>
    </row>
    <row r="29" spans="2:9" ht="14.1" x14ac:dyDescent="0.5">
      <c r="B29" s="21" t="s">
        <v>107</v>
      </c>
    </row>
    <row r="30" spans="2:9" ht="14.1" x14ac:dyDescent="0.5">
      <c r="B30" s="10" t="s">
        <v>86</v>
      </c>
    </row>
    <row r="31" spans="2:9" x14ac:dyDescent="0.45">
      <c r="B31" s="22" t="s">
        <v>40</v>
      </c>
    </row>
    <row r="32" spans="2:9" ht="14.1" x14ac:dyDescent="0.5">
      <c r="B32" s="10" t="s">
        <v>91</v>
      </c>
    </row>
    <row r="33" spans="2:6" x14ac:dyDescent="0.45">
      <c r="B33" s="1" t="s">
        <v>108</v>
      </c>
    </row>
    <row r="34" spans="2:6" ht="14.1" x14ac:dyDescent="0.5">
      <c r="B34" s="17" t="s">
        <v>87</v>
      </c>
    </row>
    <row r="35" spans="2:6" ht="14.1" x14ac:dyDescent="0.5">
      <c r="B35" s="23" t="s">
        <v>109</v>
      </c>
    </row>
    <row r="38" spans="2:6" ht="14.1" x14ac:dyDescent="0.5">
      <c r="B38" s="17" t="s">
        <v>114</v>
      </c>
      <c r="C38" s="17"/>
      <c r="D38" s="17"/>
      <c r="E38" s="17"/>
      <c r="F38" s="17"/>
    </row>
    <row r="39" spans="2:6" x14ac:dyDescent="0.45">
      <c r="B39" s="22" t="s">
        <v>111</v>
      </c>
    </row>
    <row r="40" spans="2:6" x14ac:dyDescent="0.45">
      <c r="B40" s="24" t="s">
        <v>112</v>
      </c>
    </row>
    <row r="41" spans="2:6" x14ac:dyDescent="0.45">
      <c r="B41" s="14" t="s">
        <v>113</v>
      </c>
    </row>
    <row r="42" spans="2:6" x14ac:dyDescent="0.45">
      <c r="B42" s="15" t="s">
        <v>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 statement</vt:lpstr>
      <vt:lpstr>Connections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Vesi</dc:creator>
  <cp:lastModifiedBy>Veselina Dinova</cp:lastModifiedBy>
  <dcterms:created xsi:type="dcterms:W3CDTF">2020-07-06T01:07:53Z</dcterms:created>
  <dcterms:modified xsi:type="dcterms:W3CDTF">2023-05-13T01:20:14Z</dcterms:modified>
</cp:coreProperties>
</file>