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35860719f7b8c5/Desktop/UC Berkeley 2023/BCPA 102/Class 10/"/>
    </mc:Choice>
  </mc:AlternateContent>
  <xr:revisionPtr revIDLastSave="2" documentId="11_80A72B3FF1CBA941AFB24F062104294101ACE9DB" xr6:coauthVersionLast="47" xr6:coauthVersionMax="47" xr10:uidLastSave="{E9D8DA07-2643-4723-83F2-BB56B0AF28AE}"/>
  <bookViews>
    <workbookView xWindow="-96" yWindow="-96" windowWidth="23232" windowHeight="13872" xr2:uid="{00000000-000D-0000-FFFF-FFFF00000000}"/>
  </bookViews>
  <sheets>
    <sheet name="CF statement - prepa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33" i="1" l="1"/>
  <c r="D31" i="1"/>
  <c r="C24" i="1"/>
  <c r="D23" i="1"/>
  <c r="D24" i="1" s="1"/>
  <c r="D17" i="1"/>
  <c r="C17" i="1"/>
</calcChain>
</file>

<file path=xl/sharedStrings.xml><?xml version="1.0" encoding="utf-8"?>
<sst xmlns="http://schemas.openxmlformats.org/spreadsheetml/2006/main" count="47" uniqueCount="41">
  <si>
    <t xml:space="preserve">CF statement preparation </t>
  </si>
  <si>
    <t xml:space="preserve">Balance sheet </t>
  </si>
  <si>
    <t xml:space="preserve">Prior year </t>
  </si>
  <si>
    <t xml:space="preserve">Current year </t>
  </si>
  <si>
    <t xml:space="preserve">Cash </t>
  </si>
  <si>
    <t xml:space="preserve">Accounts Receivable </t>
  </si>
  <si>
    <t xml:space="preserve">Inventory </t>
  </si>
  <si>
    <t>PPE, net</t>
  </si>
  <si>
    <t>Total Assets</t>
  </si>
  <si>
    <t xml:space="preserve">Accounts payable </t>
  </si>
  <si>
    <t xml:space="preserve">Wages Payable </t>
  </si>
  <si>
    <t xml:space="preserve">Note payable, long-term </t>
  </si>
  <si>
    <t xml:space="preserve">Common stock and APIC </t>
  </si>
  <si>
    <t xml:space="preserve">Retained earnings </t>
  </si>
  <si>
    <t>Total liabilities and equity</t>
  </si>
  <si>
    <t xml:space="preserve">Income statement </t>
  </si>
  <si>
    <t xml:space="preserve">Sales </t>
  </si>
  <si>
    <t xml:space="preserve">COGS </t>
  </si>
  <si>
    <t xml:space="preserve">Other operating expenses </t>
  </si>
  <si>
    <t xml:space="preserve">Gain of sale of equipment </t>
  </si>
  <si>
    <t xml:space="preserve">Net income </t>
  </si>
  <si>
    <t xml:space="preserve">Cash flow statement </t>
  </si>
  <si>
    <t xml:space="preserve">Depreciation </t>
  </si>
  <si>
    <t>Other adjustments</t>
  </si>
  <si>
    <t>Change in …………………</t>
  </si>
  <si>
    <t>Cash flow from operations</t>
  </si>
  <si>
    <t>Capital expenditures</t>
  </si>
  <si>
    <t xml:space="preserve">Proceeds from sale of equipment </t>
  </si>
  <si>
    <t>Other investing cash inflows/outflows</t>
  </si>
  <si>
    <t>Cash flow from investing activities</t>
  </si>
  <si>
    <t xml:space="preserve">Payment of dividends </t>
  </si>
  <si>
    <t>Other financial inflows/outflows</t>
  </si>
  <si>
    <t xml:space="preserve">Cash flow from financing activities </t>
  </si>
  <si>
    <t>Change in cash from the CF statement</t>
  </si>
  <si>
    <t>Change in cash from the balance sheet</t>
  </si>
  <si>
    <t>Additional data:</t>
  </si>
  <si>
    <t>Depreciation expense was $12,000, there are no other non-cash expenses.</t>
  </si>
  <si>
    <t>Accumulated depreciation as of the end of the prior year was $25,000.</t>
  </si>
  <si>
    <t>Equipment was purchased for $31,000.</t>
  </si>
  <si>
    <t xml:space="preserve">Equipment with an original cost of 10,000 and accumulated depreciation of $7,000 was sold for $4,000 in cash. </t>
  </si>
  <si>
    <t>Dividend of $5,000 was declared and paid during the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</si>
</sst>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C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5"/>
  <sheetViews>
    <sheetView tabSelected="1" workbookViewId="0"/>
  </sheetViews>
  <sheetFormatPr defaultColWidth="9.15625" defaultRowHeight="13.8" x14ac:dyDescent="0.55000000000000004"/>
  <cols>
    <col min="1" max="1" width="5.68359375" style="1" customWidth="1"/>
    <col min="2" max="2" width="42" style="1" customWidth="1"/>
    <col min="3" max="3" width="12.26171875" style="1" customWidth="1"/>
    <col min="4" max="4" width="12.41796875" style="1" bestFit="1" customWidth="1"/>
    <col min="5" max="16384" width="9.15625" style="1"/>
  </cols>
  <sheetData>
    <row r="2" spans="2:8" ht="14.1" x14ac:dyDescent="0.55000000000000004">
      <c r="B2" s="8" t="s">
        <v>0</v>
      </c>
    </row>
    <row r="4" spans="2:8" ht="14.1" x14ac:dyDescent="0.55000000000000004">
      <c r="B4" s="2" t="s">
        <v>35</v>
      </c>
      <c r="C4" s="2"/>
      <c r="D4" s="2"/>
      <c r="E4" s="2"/>
      <c r="F4" s="2"/>
      <c r="G4" s="2"/>
      <c r="H4" s="2"/>
    </row>
    <row r="5" spans="2:8" x14ac:dyDescent="0.55000000000000004">
      <c r="B5" s="1" t="s">
        <v>36</v>
      </c>
    </row>
    <row r="6" spans="2:8" x14ac:dyDescent="0.55000000000000004">
      <c r="B6" s="1" t="s">
        <v>37</v>
      </c>
    </row>
    <row r="7" spans="2:8" x14ac:dyDescent="0.55000000000000004">
      <c r="B7" s="1" t="s">
        <v>38</v>
      </c>
    </row>
    <row r="8" spans="2:8" x14ac:dyDescent="0.55000000000000004">
      <c r="B8" s="1" t="s">
        <v>39</v>
      </c>
    </row>
    <row r="9" spans="2:8" x14ac:dyDescent="0.55000000000000004">
      <c r="B9" s="1" t="s">
        <v>40</v>
      </c>
    </row>
    <row r="12" spans="2:8" ht="14.1" x14ac:dyDescent="0.55000000000000004">
      <c r="B12" s="2" t="s">
        <v>1</v>
      </c>
      <c r="C12" s="2" t="s">
        <v>2</v>
      </c>
      <c r="D12" s="2" t="s">
        <v>3</v>
      </c>
    </row>
    <row r="13" spans="2:8" x14ac:dyDescent="0.55000000000000004">
      <c r="B13" s="1" t="s">
        <v>4</v>
      </c>
      <c r="C13" s="3">
        <v>45000</v>
      </c>
      <c r="D13" s="3">
        <v>29000</v>
      </c>
    </row>
    <row r="14" spans="2:8" x14ac:dyDescent="0.55000000000000004">
      <c r="B14" s="1" t="s">
        <v>5</v>
      </c>
      <c r="C14" s="3">
        <v>28000</v>
      </c>
      <c r="D14" s="3">
        <v>35000</v>
      </c>
    </row>
    <row r="15" spans="2:8" x14ac:dyDescent="0.55000000000000004">
      <c r="B15" s="1" t="s">
        <v>6</v>
      </c>
      <c r="C15" s="3">
        <v>38000</v>
      </c>
      <c r="D15" s="3">
        <v>41000</v>
      </c>
    </row>
    <row r="16" spans="2:8" x14ac:dyDescent="0.55000000000000004">
      <c r="B16" s="4" t="s">
        <v>7</v>
      </c>
      <c r="C16" s="5">
        <v>75000</v>
      </c>
      <c r="D16" s="5">
        <v>91000</v>
      </c>
    </row>
    <row r="17" spans="2:4" ht="14.1" x14ac:dyDescent="0.55000000000000004">
      <c r="B17" s="6" t="s">
        <v>8</v>
      </c>
      <c r="C17" s="7">
        <f>SUM(C13:C16)</f>
        <v>186000</v>
      </c>
      <c r="D17" s="7">
        <f>SUM(D13:D16)</f>
        <v>196000</v>
      </c>
    </row>
    <row r="18" spans="2:4" x14ac:dyDescent="0.55000000000000004">
      <c r="C18" s="3"/>
      <c r="D18" s="3"/>
    </row>
    <row r="19" spans="2:4" x14ac:dyDescent="0.55000000000000004">
      <c r="B19" s="1" t="s">
        <v>9</v>
      </c>
      <c r="C19" s="3">
        <v>27000</v>
      </c>
      <c r="D19" s="3">
        <v>36000</v>
      </c>
    </row>
    <row r="20" spans="2:4" x14ac:dyDescent="0.55000000000000004">
      <c r="B20" s="1" t="s">
        <v>10</v>
      </c>
      <c r="C20" s="3">
        <v>1400</v>
      </c>
      <c r="D20" s="3">
        <v>1200</v>
      </c>
    </row>
    <row r="21" spans="2:4" x14ac:dyDescent="0.55000000000000004">
      <c r="B21" s="1" t="s">
        <v>11</v>
      </c>
      <c r="C21" s="3">
        <v>56000</v>
      </c>
      <c r="D21" s="3">
        <v>38000</v>
      </c>
    </row>
    <row r="22" spans="2:4" x14ac:dyDescent="0.55000000000000004">
      <c r="B22" s="1" t="s">
        <v>12</v>
      </c>
      <c r="C22" s="3">
        <v>76600</v>
      </c>
      <c r="D22" s="3">
        <v>88600</v>
      </c>
    </row>
    <row r="23" spans="2:4" x14ac:dyDescent="0.55000000000000004">
      <c r="B23" s="4" t="s">
        <v>13</v>
      </c>
      <c r="C23" s="5">
        <v>25000</v>
      </c>
      <c r="D23" s="5">
        <f>D31+D48+C23</f>
        <v>37200</v>
      </c>
    </row>
    <row r="24" spans="2:4" ht="14.1" x14ac:dyDescent="0.55000000000000004">
      <c r="B24" s="6" t="s">
        <v>14</v>
      </c>
      <c r="C24" s="7">
        <f>SUM(C19:C23)</f>
        <v>186000</v>
      </c>
      <c r="D24" s="7">
        <f>SUM(D19:D23)</f>
        <v>201000</v>
      </c>
    </row>
    <row r="26" spans="2:4" ht="14.1" x14ac:dyDescent="0.55000000000000004">
      <c r="B26" s="2" t="s">
        <v>15</v>
      </c>
      <c r="C26" s="2"/>
      <c r="D26" s="2" t="s">
        <v>3</v>
      </c>
    </row>
    <row r="27" spans="2:4" x14ac:dyDescent="0.55000000000000004">
      <c r="B27" s="1" t="s">
        <v>16</v>
      </c>
      <c r="D27" s="3">
        <v>120000</v>
      </c>
    </row>
    <row r="28" spans="2:4" x14ac:dyDescent="0.55000000000000004">
      <c r="B28" s="1" t="s">
        <v>17</v>
      </c>
      <c r="D28" s="3">
        <v>-70000</v>
      </c>
    </row>
    <row r="29" spans="2:4" x14ac:dyDescent="0.55000000000000004">
      <c r="B29" s="1" t="s">
        <v>18</v>
      </c>
      <c r="D29" s="3">
        <v>-38800</v>
      </c>
    </row>
    <row r="30" spans="2:4" x14ac:dyDescent="0.55000000000000004">
      <c r="B30" s="4" t="s">
        <v>19</v>
      </c>
      <c r="C30" s="4"/>
      <c r="D30" s="5">
        <v>1000</v>
      </c>
    </row>
    <row r="31" spans="2:4" ht="14.1" x14ac:dyDescent="0.55000000000000004">
      <c r="B31" s="6" t="s">
        <v>20</v>
      </c>
      <c r="C31" s="6"/>
      <c r="D31" s="7">
        <f>SUM(D27:D30)</f>
        <v>12200</v>
      </c>
    </row>
    <row r="33" spans="2:4" ht="14.1" x14ac:dyDescent="0.55000000000000004">
      <c r="B33" s="2" t="s">
        <v>21</v>
      </c>
      <c r="C33" s="2"/>
      <c r="D33" s="2" t="str">
        <f>D26</f>
        <v xml:space="preserve">Current year </v>
      </c>
    </row>
    <row r="34" spans="2:4" x14ac:dyDescent="0.55000000000000004">
      <c r="B34" s="1" t="s">
        <v>20</v>
      </c>
      <c r="D34" s="3"/>
    </row>
    <row r="35" spans="2:4" x14ac:dyDescent="0.55000000000000004">
      <c r="B35" s="1" t="s">
        <v>22</v>
      </c>
      <c r="D35" s="3"/>
    </row>
    <row r="36" spans="2:4" x14ac:dyDescent="0.55000000000000004">
      <c r="B36" s="1" t="s">
        <v>23</v>
      </c>
      <c r="D36" s="3"/>
    </row>
    <row r="37" spans="2:4" x14ac:dyDescent="0.55000000000000004">
      <c r="B37" s="1" t="s">
        <v>24</v>
      </c>
      <c r="D37" s="3"/>
    </row>
    <row r="38" spans="2:4" x14ac:dyDescent="0.55000000000000004">
      <c r="B38" s="1" t="s">
        <v>24</v>
      </c>
      <c r="D38" s="3"/>
    </row>
    <row r="39" spans="2:4" x14ac:dyDescent="0.55000000000000004">
      <c r="B39" s="1" t="s">
        <v>24</v>
      </c>
      <c r="D39" s="3"/>
    </row>
    <row r="40" spans="2:4" x14ac:dyDescent="0.55000000000000004">
      <c r="B40" s="4" t="s">
        <v>24</v>
      </c>
      <c r="C40" s="4"/>
      <c r="D40" s="5"/>
    </row>
    <row r="41" spans="2:4" x14ac:dyDescent="0.55000000000000004">
      <c r="B41" s="1" t="s">
        <v>25</v>
      </c>
      <c r="D41" s="3"/>
    </row>
    <row r="42" spans="2:4" x14ac:dyDescent="0.55000000000000004">
      <c r="D42" s="3"/>
    </row>
    <row r="43" spans="2:4" x14ac:dyDescent="0.55000000000000004">
      <c r="B43" s="1" t="s">
        <v>26</v>
      </c>
      <c r="D43" s="3"/>
    </row>
    <row r="44" spans="2:4" x14ac:dyDescent="0.55000000000000004">
      <c r="B44" s="1" t="s">
        <v>27</v>
      </c>
      <c r="D44" s="3"/>
    </row>
    <row r="45" spans="2:4" x14ac:dyDescent="0.55000000000000004">
      <c r="B45" s="4" t="s">
        <v>28</v>
      </c>
      <c r="C45" s="4"/>
      <c r="D45" s="5"/>
    </row>
    <row r="46" spans="2:4" x14ac:dyDescent="0.55000000000000004">
      <c r="B46" s="1" t="s">
        <v>29</v>
      </c>
      <c r="D46" s="3"/>
    </row>
    <row r="47" spans="2:4" x14ac:dyDescent="0.55000000000000004">
      <c r="D47" s="3"/>
    </row>
    <row r="48" spans="2:4" x14ac:dyDescent="0.55000000000000004">
      <c r="B48" s="1" t="s">
        <v>30</v>
      </c>
      <c r="D48" s="3"/>
    </row>
    <row r="49" spans="2:4" x14ac:dyDescent="0.55000000000000004">
      <c r="B49" s="1" t="s">
        <v>31</v>
      </c>
      <c r="D49" s="3"/>
    </row>
    <row r="50" spans="2:4" x14ac:dyDescent="0.55000000000000004">
      <c r="B50" s="4" t="s">
        <v>31</v>
      </c>
      <c r="C50" s="4"/>
      <c r="D50" s="5"/>
    </row>
    <row r="51" spans="2:4" x14ac:dyDescent="0.55000000000000004">
      <c r="B51" s="1" t="s">
        <v>32</v>
      </c>
      <c r="D51" s="3"/>
    </row>
    <row r="52" spans="2:4" x14ac:dyDescent="0.55000000000000004">
      <c r="D52" s="3"/>
    </row>
    <row r="53" spans="2:4" x14ac:dyDescent="0.55000000000000004">
      <c r="B53" s="1" t="s">
        <v>33</v>
      </c>
      <c r="D53" s="3"/>
    </row>
    <row r="54" spans="2:4" x14ac:dyDescent="0.55000000000000004">
      <c r="B54" s="1" t="s">
        <v>34</v>
      </c>
      <c r="D54" s="3">
        <f>D13-C13</f>
        <v>-16000</v>
      </c>
    </row>
    <row r="55" spans="2:4" x14ac:dyDescent="0.55000000000000004">
      <c r="D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 statement - preparation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Vesi</dc:creator>
  <cp:lastModifiedBy>Veselina Dinova</cp:lastModifiedBy>
  <dcterms:created xsi:type="dcterms:W3CDTF">2020-11-28T04:49:43Z</dcterms:created>
  <dcterms:modified xsi:type="dcterms:W3CDTF">2023-05-13T01:12:49Z</dcterms:modified>
</cp:coreProperties>
</file>