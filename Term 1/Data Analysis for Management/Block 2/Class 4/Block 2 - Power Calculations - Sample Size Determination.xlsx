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eedwalker/Desktop/Dropbox/Teaching/HaasMBA/ReedDD2026/Block2/1-thursday/"/>
    </mc:Choice>
  </mc:AlternateContent>
  <xr:revisionPtr revIDLastSave="0" documentId="13_ncr:1_{6D1EBADC-9F8B-5C4E-A46B-94F34181E5A7}" xr6:coauthVersionLast="47" xr6:coauthVersionMax="47" xr10:uidLastSave="{00000000-0000-0000-0000-000000000000}"/>
  <bookViews>
    <workbookView xWindow="0" yWindow="660" windowWidth="20160" windowHeight="17660" tabRatio="500" xr2:uid="{00000000-000D-0000-FFFF-FFFF00000000}"/>
  </bookViews>
  <sheets>
    <sheet name="Sample size" sheetId="1" r:id="rId1"/>
    <sheet name="Power curve" sheetId="2" r:id="rId2"/>
    <sheet name="Sensitivit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2" l="1"/>
  <c r="B33" i="2"/>
  <c r="E32" i="2"/>
  <c r="B32" i="2"/>
  <c r="E31" i="2"/>
  <c r="B31" i="2"/>
  <c r="E30" i="2"/>
  <c r="B30" i="2"/>
  <c r="E29" i="2"/>
  <c r="B29" i="2"/>
  <c r="E28" i="2"/>
  <c r="B28" i="2"/>
  <c r="E27" i="2"/>
  <c r="B27" i="2"/>
  <c r="E26" i="2"/>
  <c r="B26" i="2"/>
  <c r="E25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B23" i="1"/>
  <c r="B14" i="1"/>
  <c r="B13" i="1"/>
  <c r="B15" i="1" s="1"/>
  <c r="B12" i="1"/>
  <c r="C32" i="2" s="1"/>
  <c r="F10" i="3" l="1"/>
  <c r="C7" i="3"/>
  <c r="E8" i="3"/>
  <c r="E10" i="3"/>
  <c r="B7" i="3"/>
  <c r="D10" i="3"/>
  <c r="F6" i="3"/>
  <c r="C10" i="3"/>
  <c r="E6" i="3"/>
  <c r="B10" i="3"/>
  <c r="D6" i="3"/>
  <c r="F9" i="3"/>
  <c r="C6" i="3"/>
  <c r="B6" i="3"/>
  <c r="E9" i="3"/>
  <c r="D9" i="3"/>
  <c r="F5" i="3"/>
  <c r="C9" i="3"/>
  <c r="E5" i="3"/>
  <c r="B9" i="3"/>
  <c r="D5" i="3"/>
  <c r="B5" i="3"/>
  <c r="D8" i="3"/>
  <c r="F8" i="3"/>
  <c r="C5" i="3"/>
  <c r="F7" i="3"/>
  <c r="C8" i="3"/>
  <c r="B8" i="3"/>
  <c r="D7" i="3"/>
  <c r="E7" i="3"/>
  <c r="D10" i="2"/>
  <c r="D19" i="2"/>
  <c r="C15" i="2"/>
  <c r="D5" i="2"/>
  <c r="D14" i="2"/>
  <c r="D23" i="2"/>
  <c r="D32" i="2"/>
  <c r="D6" i="2"/>
  <c r="D15" i="2"/>
  <c r="D24" i="2"/>
  <c r="D33" i="2"/>
  <c r="C6" i="2"/>
  <c r="C24" i="2"/>
  <c r="C33" i="2"/>
  <c r="C29" i="2"/>
  <c r="D20" i="2"/>
  <c r="B16" i="1"/>
  <c r="B17" i="1" s="1"/>
  <c r="D7" i="2"/>
  <c r="D16" i="2"/>
  <c r="D25" i="2"/>
  <c r="C11" i="2"/>
  <c r="C20" i="2"/>
  <c r="C25" i="2"/>
  <c r="C12" i="2"/>
  <c r="C21" i="2"/>
  <c r="C30" i="2"/>
  <c r="D11" i="2"/>
  <c r="D29" i="2"/>
  <c r="C16" i="2"/>
  <c r="D12" i="2"/>
  <c r="D21" i="2"/>
  <c r="D30" i="2"/>
  <c r="C26" i="2"/>
  <c r="D8" i="2"/>
  <c r="C8" i="2"/>
  <c r="C17" i="2"/>
  <c r="D17" i="2"/>
  <c r="D26" i="2"/>
  <c r="B24" i="1"/>
  <c r="C13" i="2"/>
  <c r="C22" i="2"/>
  <c r="C31" i="2"/>
  <c r="B25" i="1"/>
  <c r="B26" i="1" s="1"/>
  <c r="D13" i="2"/>
  <c r="D22" i="2"/>
  <c r="D31" i="2"/>
  <c r="C10" i="2"/>
  <c r="C19" i="2"/>
  <c r="D28" i="2"/>
  <c r="C28" i="2"/>
  <c r="C9" i="2"/>
  <c r="C18" i="2"/>
  <c r="C27" i="2"/>
  <c r="D9" i="2"/>
  <c r="D18" i="2"/>
  <c r="C7" i="2"/>
  <c r="D27" i="2"/>
  <c r="C5" i="2"/>
  <c r="C14" i="2"/>
  <c r="C23" i="2"/>
  <c r="B19" i="1" l="1"/>
  <c r="B18" i="1"/>
</calcChain>
</file>

<file path=xl/sharedStrings.xml><?xml version="1.0" encoding="utf-8"?>
<sst xmlns="http://schemas.openxmlformats.org/spreadsheetml/2006/main" count="58" uniqueCount="54">
  <si>
    <t>Sample size for a one-sided test of a mean</t>
  </si>
  <si>
    <t>Edit the yellow cells (blue text). Everything else recalculates.</t>
  </si>
  <si>
    <t>Inputs</t>
  </si>
  <si>
    <t>Value</t>
  </si>
  <si>
    <t>Where it comes from</t>
  </si>
  <si>
    <t>Null mean (μ0)</t>
  </si>
  <si>
    <t>Mean you want to be able to detect (μ1)</t>
  </si>
  <si>
    <t>Standard deviation (σ)</t>
  </si>
  <si>
    <t>Significance level (α), one-sided</t>
  </si>
  <si>
    <t>Target power (1 − β)</t>
  </si>
  <si>
    <t>Convention; 0.90 is also common</t>
  </si>
  <si>
    <t>Step by step</t>
  </si>
  <si>
    <t>What the step does</t>
  </si>
  <si>
    <t>1. Shift to detect: δ = μ0 − μ1</t>
  </si>
  <si>
    <t>How far the truth sits from the null</t>
  </si>
  <si>
    <t>2. z for the significance level (zα)</t>
  </si>
  <si>
    <t>Cutoff sits zα standard errors from μ0, so only α of the null distribution is beyond it</t>
  </si>
  <si>
    <t>3. z for the power (zβ)</t>
  </si>
  <si>
    <t>Cutoff must also sit zβ standard errors past μ1, so (1 − β) of the true distribution is beyond it</t>
  </si>
  <si>
    <t>4. Total distance in standard errors: zα + zβ</t>
  </si>
  <si>
    <t>δ has to span both pieces: δ = (zα + zβ) × σ/√n</t>
  </si>
  <si>
    <t>5. Noise relative to signal: σ / |δ|</t>
  </si>
  <si>
    <t>Standard deviations per unit of shift</t>
  </si>
  <si>
    <t>6. Required n, unrounded: [(zα + zβ) × σ/δ]²</t>
  </si>
  <si>
    <t>Solve step 4 for n</t>
  </si>
  <si>
    <t>7. Required n, rounded up</t>
  </si>
  <si>
    <t>Normal (z) approximation</t>
  </si>
  <si>
    <t>8. Required n for a t-test (add zα²/2)</t>
  </si>
  <si>
    <t>Small correction because σ is estimated from the sample</t>
  </si>
  <si>
    <t>Check: power at any sample size</t>
  </si>
  <si>
    <t>Sample size to check (n)</t>
  </si>
  <si>
    <t>Standard error: σ/√n</t>
  </si>
  <si>
    <t>Spread of the sample mean</t>
  </si>
  <si>
    <t>Rejection cutoff for the sample mean</t>
  </si>
  <si>
    <t>Reject the null when the sample mean is beyond this value (on the μ1 side)</t>
  </si>
  <si>
    <t>Distance from μ1 to the cutoff, in standard errors</t>
  </si>
  <si>
    <t>Positive means more than half of the true distribution is in the rejection region</t>
  </si>
  <si>
    <t>Power</t>
  </si>
  <si>
    <t>Chance of rejecting the null if the true mean is μ1</t>
  </si>
  <si>
    <t>Power as the sample size grows</t>
  </si>
  <si>
    <t>Uses the inputs on the 'Sample size' tab. The n values in column A (blue) can be edited.</t>
  </si>
  <si>
    <t>Sample size (n)</t>
  </si>
  <si>
    <t>Standard error</t>
  </si>
  <si>
    <t>Rejection cutoff</t>
  </si>
  <si>
    <t>Target power</t>
  </si>
  <si>
    <t>Required n for different guesses of σ and δ</t>
  </si>
  <si>
    <t>σ  ↓   /   δ  →</t>
  </si>
  <si>
    <t>The shaded cell is the base case (σ = 0.7, δ = 0.2). n scales with σ² and with 1/δ².</t>
  </si>
  <si>
    <t>From financial team</t>
  </si>
  <si>
    <t xml:space="preserve">Your call: the smallest departure from μ0 worth catching. </t>
  </si>
  <si>
    <t>Planning guess from a pilot or past data.</t>
  </si>
  <si>
    <t>Convention, but could change</t>
  </si>
  <si>
    <t>The 40 blades from our example; try the n from step 7</t>
  </si>
  <si>
    <t xml:space="preserve">Normal approximation, rounded up, at the α and power on the 'Sample size' tab.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</si>
</sst>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color rgb="FF0000FF"/>
      <name val="Arial"/>
      <charset val="1"/>
    </font>
    <font>
      <i/>
      <sz val="10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3" borderId="1" xfId="0" applyNumberFormat="1" applyFont="1" applyFill="1" applyBorder="1"/>
    <xf numFmtId="2" fontId="5" fillId="3" borderId="1" xfId="0" applyNumberFormat="1" applyFont="1" applyFill="1" applyBorder="1"/>
    <xf numFmtId="9" fontId="5" fillId="3" borderId="1" xfId="0" applyNumberFormat="1" applyFont="1" applyFill="1" applyBorder="1"/>
    <xf numFmtId="2" fontId="4" fillId="0" borderId="1" xfId="0" applyNumberFormat="1" applyFont="1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0" fontId="3" fillId="0" borderId="0" xfId="0" applyFont="1"/>
    <xf numFmtId="1" fontId="3" fillId="4" borderId="1" xfId="0" applyNumberFormat="1" applyFont="1" applyFill="1" applyBorder="1"/>
    <xf numFmtId="1" fontId="5" fillId="3" borderId="1" xfId="0" applyNumberFormat="1" applyFont="1" applyFill="1" applyBorder="1"/>
    <xf numFmtId="166" fontId="4" fillId="0" borderId="1" xfId="0" applyNumberFormat="1" applyFont="1" applyBorder="1"/>
    <xf numFmtId="167" fontId="3" fillId="4" borderId="1" xfId="0" applyNumberFormat="1" applyFont="1" applyFill="1" applyBorder="1"/>
    <xf numFmtId="0" fontId="3" fillId="2" borderId="0" xfId="0" applyFont="1" applyFill="1" applyAlignment="1">
      <alignment horizontal="center" wrapText="1"/>
    </xf>
    <xf numFmtId="0" fontId="5" fillId="0" borderId="0" xfId="0" applyFont="1"/>
    <xf numFmtId="166" fontId="4" fillId="0" borderId="0" xfId="0" applyNumberFormat="1" applyFont="1"/>
    <xf numFmtId="165" fontId="4" fillId="0" borderId="0" xfId="0" applyNumberFormat="1" applyFont="1"/>
    <xf numFmtId="167" fontId="4" fillId="0" borderId="0" xfId="0" applyNumberFormat="1" applyFont="1"/>
    <xf numFmtId="9" fontId="4" fillId="0" borderId="0" xfId="0" applyNumberFormat="1" applyFont="1"/>
    <xf numFmtId="2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3C99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A44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Power vs. sample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'Power curve'!$D$4</c:f>
              <c:strCache>
                <c:ptCount val="1"/>
                <c:pt idx="0">
                  <c:v>Power</c:v>
                </c:pt>
              </c:strCache>
            </c:strRef>
          </c:tx>
          <c:spPr>
            <a:ln w="2808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'Power curve'!$A$5:$A$33</c:f>
              <c:numCache>
                <c:formatCode>General</c:formatCode>
                <c:ptCount val="2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</c:numCache>
            </c:numRef>
          </c:xVal>
          <c:yVal>
            <c:numRef>
              <c:f>'Power curve'!$D$5:$D$33</c:f>
              <c:numCache>
                <c:formatCode>0.0%</c:formatCode>
                <c:ptCount val="29"/>
                <c:pt idx="0">
                  <c:v>0.22924192225499729</c:v>
                </c:pt>
                <c:pt idx="1">
                  <c:v>0.29518947741630774</c:v>
                </c:pt>
                <c:pt idx="2">
                  <c:v>0.35677202831022464</c:v>
                </c:pt>
                <c:pt idx="3">
                  <c:v>0.41438389216087207</c:v>
                </c:pt>
                <c:pt idx="4">
                  <c:v>0.46814565591109975</c:v>
                </c:pt>
                <c:pt idx="5">
                  <c:v>0.51812763187724697</c:v>
                </c:pt>
                <c:pt idx="6">
                  <c:v>0.56441092878234556</c:v>
                </c:pt>
                <c:pt idx="7">
                  <c:v>0.60710289612009005</c:v>
                </c:pt>
                <c:pt idx="8">
                  <c:v>0.64633763095831187</c:v>
                </c:pt>
                <c:pt idx="9">
                  <c:v>0.6822715199326026</c:v>
                </c:pt>
                <c:pt idx="10">
                  <c:v>0.71507747422535384</c:v>
                </c:pt>
                <c:pt idx="11">
                  <c:v>0.74493927245912006</c:v>
                </c:pt>
                <c:pt idx="12">
                  <c:v>0.77204654370670289</c:v>
                </c:pt>
                <c:pt idx="13">
                  <c:v>0.79659055221162656</c:v>
                </c:pt>
                <c:pt idx="14">
                  <c:v>0.81876078553458398</c:v>
                </c:pt>
                <c:pt idx="15">
                  <c:v>0.83874228052311794</c:v>
                </c:pt>
                <c:pt idx="16">
                  <c:v>0.85671359667669711</c:v>
                </c:pt>
                <c:pt idx="17">
                  <c:v>0.87284534158585614</c:v>
                </c:pt>
                <c:pt idx="18">
                  <c:v>0.88729915749137056</c:v>
                </c:pt>
                <c:pt idx="19">
                  <c:v>0.90022708640733584</c:v>
                </c:pt>
                <c:pt idx="20">
                  <c:v>0.91177124106077856</c:v>
                </c:pt>
                <c:pt idx="21">
                  <c:v>0.92206371880308879</c:v>
                </c:pt>
                <c:pt idx="22">
                  <c:v>0.93122670499930416</c:v>
                </c:pt>
                <c:pt idx="23">
                  <c:v>0.93937272090784152</c:v>
                </c:pt>
                <c:pt idx="24">
                  <c:v>0.94660497862222071</c:v>
                </c:pt>
                <c:pt idx="25">
                  <c:v>0.9530178122545635</c:v>
                </c:pt>
                <c:pt idx="26">
                  <c:v>0.95869716024730645</c:v>
                </c:pt>
                <c:pt idx="27">
                  <c:v>0.9637210785788185</c:v>
                </c:pt>
                <c:pt idx="28">
                  <c:v>0.96816026876469963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6A-1F45-BEA6-CFF0B3420C69}"/>
            </c:ext>
          </c:extLst>
        </c:ser>
        <c:ser>
          <c:idx val="1"/>
          <c:order val="1"/>
          <c:tx>
            <c:strRef>
              <c:f>'Power curve'!$E$4</c:f>
              <c:strCache>
                <c:ptCount val="1"/>
                <c:pt idx="0">
                  <c:v>Target power</c:v>
                </c:pt>
              </c:strCache>
            </c:strRef>
          </c:tx>
          <c:spPr>
            <a:ln w="15120">
              <a:solidFill>
                <a:srgbClr val="B3C992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'Power curve'!$A$5:$A$33</c:f>
              <c:numCache>
                <c:formatCode>General</c:formatCode>
                <c:ptCount val="2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</c:numCache>
            </c:numRef>
          </c:xVal>
          <c:yVal>
            <c:numRef>
              <c:f>'Power curve'!$E$5:$E$33</c:f>
              <c:numCache>
                <c:formatCode>0%</c:formatCode>
                <c:ptCount val="29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6A-1F45-BEA6-CFF0B3420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1500"/>
        <c:axId val="56560319"/>
      </c:scatterChart>
      <c:valAx>
        <c:axId val="14141500"/>
        <c:scaling>
          <c:orientation val="minMax"/>
          <c:max val="15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Sample size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560319"/>
        <c:crosses val="autoZero"/>
        <c:crossBetween val="midCat"/>
      </c:valAx>
      <c:valAx>
        <c:axId val="5656031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14150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16</xdr:col>
      <xdr:colOff>4680</xdr:colOff>
      <xdr:row>20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showGridLines="0" tabSelected="1" zoomScaleNormal="100" workbookViewId="0">
      <selection activeCell="C28" sqref="C28"/>
    </sheetView>
  </sheetViews>
  <sheetFormatPr baseColWidth="10" defaultColWidth="8.6640625" defaultRowHeight="15" x14ac:dyDescent="0.2"/>
  <cols>
    <col min="1" max="1" width="50" customWidth="1"/>
    <col min="2" max="2" width="12" customWidth="1"/>
    <col min="3" max="3" width="95" customWidth="1"/>
  </cols>
  <sheetData>
    <row r="1" spans="1:3" ht="18" x14ac:dyDescent="0.2">
      <c r="A1" s="1" t="s">
        <v>0</v>
      </c>
    </row>
    <row r="2" spans="1:3" x14ac:dyDescent="0.2">
      <c r="A2" s="2" t="s">
        <v>1</v>
      </c>
    </row>
    <row r="4" spans="1:3" x14ac:dyDescent="0.2">
      <c r="A4" s="3" t="s">
        <v>2</v>
      </c>
      <c r="B4" s="3" t="s">
        <v>3</v>
      </c>
      <c r="C4" s="3" t="s">
        <v>4</v>
      </c>
    </row>
    <row r="5" spans="1:3" x14ac:dyDescent="0.2">
      <c r="A5" s="4" t="s">
        <v>5</v>
      </c>
      <c r="B5" s="5">
        <v>29.7</v>
      </c>
      <c r="C5" s="26" t="s">
        <v>48</v>
      </c>
    </row>
    <row r="6" spans="1:3" x14ac:dyDescent="0.2">
      <c r="A6" s="4" t="s">
        <v>6</v>
      </c>
      <c r="B6" s="5">
        <v>29.5</v>
      </c>
      <c r="C6" s="26" t="s">
        <v>49</v>
      </c>
    </row>
    <row r="7" spans="1:3" x14ac:dyDescent="0.2">
      <c r="A7" s="4" t="s">
        <v>7</v>
      </c>
      <c r="B7" s="6">
        <v>0.7</v>
      </c>
      <c r="C7" s="26" t="s">
        <v>50</v>
      </c>
    </row>
    <row r="8" spans="1:3" x14ac:dyDescent="0.2">
      <c r="A8" s="4" t="s">
        <v>8</v>
      </c>
      <c r="B8" s="6">
        <v>0.05</v>
      </c>
      <c r="C8" s="26" t="s">
        <v>51</v>
      </c>
    </row>
    <row r="9" spans="1:3" x14ac:dyDescent="0.2">
      <c r="A9" s="4" t="s">
        <v>9</v>
      </c>
      <c r="B9" s="7">
        <v>0.8</v>
      </c>
      <c r="C9" s="2" t="s">
        <v>10</v>
      </c>
    </row>
    <row r="11" spans="1:3" x14ac:dyDescent="0.2">
      <c r="A11" s="3" t="s">
        <v>11</v>
      </c>
      <c r="B11" s="3" t="s">
        <v>3</v>
      </c>
      <c r="C11" s="3" t="s">
        <v>12</v>
      </c>
    </row>
    <row r="12" spans="1:3" x14ac:dyDescent="0.2">
      <c r="A12" s="4" t="s">
        <v>13</v>
      </c>
      <c r="B12" s="8">
        <f>B5-B6</f>
        <v>0.19999999999999929</v>
      </c>
      <c r="C12" s="2" t="s">
        <v>14</v>
      </c>
    </row>
    <row r="13" spans="1:3" x14ac:dyDescent="0.2">
      <c r="A13" s="4" t="s">
        <v>15</v>
      </c>
      <c r="B13" s="9">
        <f>NORMSINV(1-B8)</f>
        <v>1.6448536269514715</v>
      </c>
      <c r="C13" s="2" t="s">
        <v>16</v>
      </c>
    </row>
    <row r="14" spans="1:3" x14ac:dyDescent="0.2">
      <c r="A14" s="4" t="s">
        <v>17</v>
      </c>
      <c r="B14" s="9">
        <f>NORMSINV(B9)</f>
        <v>0.84162123357291474</v>
      </c>
      <c r="C14" s="2" t="s">
        <v>18</v>
      </c>
    </row>
    <row r="15" spans="1:3" x14ac:dyDescent="0.2">
      <c r="A15" s="4" t="s">
        <v>19</v>
      </c>
      <c r="B15" s="9">
        <f>B13+B14</f>
        <v>2.4864748605243863</v>
      </c>
      <c r="C15" s="2" t="s">
        <v>20</v>
      </c>
    </row>
    <row r="16" spans="1:3" x14ac:dyDescent="0.2">
      <c r="A16" s="4" t="s">
        <v>21</v>
      </c>
      <c r="B16" s="8">
        <f>B7/ABS(B12)</f>
        <v>3.5000000000000124</v>
      </c>
      <c r="C16" s="2" t="s">
        <v>22</v>
      </c>
    </row>
    <row r="17" spans="1:3" x14ac:dyDescent="0.2">
      <c r="A17" s="4" t="s">
        <v>23</v>
      </c>
      <c r="B17" s="10">
        <f>(B15*B16)^2</f>
        <v>75.736326092242663</v>
      </c>
      <c r="C17" s="2" t="s">
        <v>24</v>
      </c>
    </row>
    <row r="18" spans="1:3" x14ac:dyDescent="0.2">
      <c r="A18" s="11" t="s">
        <v>25</v>
      </c>
      <c r="B18" s="12">
        <f>ROUNDUP(B17,0)</f>
        <v>76</v>
      </c>
      <c r="C18" s="2" t="s">
        <v>26</v>
      </c>
    </row>
    <row r="19" spans="1:3" x14ac:dyDescent="0.2">
      <c r="A19" s="11" t="s">
        <v>27</v>
      </c>
      <c r="B19" s="12">
        <f>ROUNDUP(B17+B13^2/2,0)</f>
        <v>78</v>
      </c>
      <c r="C19" s="2" t="s">
        <v>28</v>
      </c>
    </row>
    <row r="21" spans="1:3" x14ac:dyDescent="0.2">
      <c r="A21" s="3" t="s">
        <v>29</v>
      </c>
      <c r="B21" s="3" t="s">
        <v>3</v>
      </c>
      <c r="C21" s="3" t="s">
        <v>12</v>
      </c>
    </row>
    <row r="22" spans="1:3" x14ac:dyDescent="0.2">
      <c r="A22" s="4" t="s">
        <v>30</v>
      </c>
      <c r="B22" s="13">
        <v>40</v>
      </c>
      <c r="C22" s="26" t="s">
        <v>52</v>
      </c>
    </row>
    <row r="23" spans="1:3" x14ac:dyDescent="0.2">
      <c r="A23" s="4" t="s">
        <v>31</v>
      </c>
      <c r="B23" s="14">
        <f>B7/SQRT(B22)</f>
        <v>0.11067971810589326</v>
      </c>
      <c r="C23" s="2" t="s">
        <v>32</v>
      </c>
    </row>
    <row r="24" spans="1:3" x14ac:dyDescent="0.2">
      <c r="A24" s="4" t="s">
        <v>33</v>
      </c>
      <c r="B24" s="9">
        <f>B5-SIGN(B12)*B13*B23</f>
        <v>29.517948064243555</v>
      </c>
      <c r="C24" s="2" t="s">
        <v>34</v>
      </c>
    </row>
    <row r="25" spans="1:3" x14ac:dyDescent="0.2">
      <c r="A25" s="4" t="s">
        <v>35</v>
      </c>
      <c r="B25" s="9">
        <f>ABS(B12)/B23-B13</f>
        <v>0.16216217885902484</v>
      </c>
      <c r="C25" s="2" t="s">
        <v>36</v>
      </c>
    </row>
    <row r="26" spans="1:3" x14ac:dyDescent="0.2">
      <c r="A26" s="11" t="s">
        <v>37</v>
      </c>
      <c r="B26" s="15">
        <f>NORMSDIST(B25)</f>
        <v>0.56441092878234556</v>
      </c>
      <c r="C26" s="2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showGridLines="0" zoomScaleNormal="100" workbookViewId="0"/>
  </sheetViews>
  <sheetFormatPr baseColWidth="10" defaultColWidth="8.6640625" defaultRowHeight="15" x14ac:dyDescent="0.2"/>
  <cols>
    <col min="1" max="1" width="16" customWidth="1"/>
    <col min="2" max="2" width="15" customWidth="1"/>
    <col min="3" max="3" width="16" customWidth="1"/>
    <col min="4" max="4" width="10" customWidth="1"/>
    <col min="5" max="5" width="13" customWidth="1"/>
  </cols>
  <sheetData>
    <row r="1" spans="1:5" ht="18" x14ac:dyDescent="0.2">
      <c r="A1" s="1" t="s">
        <v>39</v>
      </c>
    </row>
    <row r="2" spans="1:5" x14ac:dyDescent="0.2">
      <c r="A2" s="2" t="s">
        <v>40</v>
      </c>
    </row>
    <row r="4" spans="1:5" ht="16" x14ac:dyDescent="0.2">
      <c r="A4" s="16" t="s">
        <v>41</v>
      </c>
      <c r="B4" s="16" t="s">
        <v>42</v>
      </c>
      <c r="C4" s="16" t="s">
        <v>43</v>
      </c>
      <c r="D4" s="16" t="s">
        <v>37</v>
      </c>
      <c r="E4" s="16" t="s">
        <v>44</v>
      </c>
    </row>
    <row r="5" spans="1:5" x14ac:dyDescent="0.2">
      <c r="A5" s="17">
        <v>10</v>
      </c>
      <c r="B5" s="18">
        <f>'Sample size'!$B$7/SQRT(A5)</f>
        <v>0.22135943621178653</v>
      </c>
      <c r="C5" s="19">
        <f>'Sample size'!$B$5-SIGN('Sample size'!$B$12)*'Sample size'!$B$13*B5</f>
        <v>29.335896128487111</v>
      </c>
      <c r="D5" s="20">
        <f>NORMSDIST(ABS('Sample size'!$B$12)/B5-'Sample size'!$B$13)</f>
        <v>0.22924192225499729</v>
      </c>
      <c r="E5" s="21">
        <f>'Sample size'!$B$9</f>
        <v>0.8</v>
      </c>
    </row>
    <row r="6" spans="1:5" x14ac:dyDescent="0.2">
      <c r="A6" s="17">
        <v>15</v>
      </c>
      <c r="B6" s="18">
        <f>'Sample size'!$B$7/SQRT(A6)</f>
        <v>0.18073922282301277</v>
      </c>
      <c r="C6" s="19">
        <f>'Sample size'!$B$5-SIGN('Sample size'!$B$12)*'Sample size'!$B$13*B6</f>
        <v>29.402710433807176</v>
      </c>
      <c r="D6" s="20">
        <f>NORMSDIST(ABS('Sample size'!$B$12)/B6-'Sample size'!$B$13)</f>
        <v>0.29518947741630774</v>
      </c>
      <c r="E6" s="21">
        <f>'Sample size'!$B$9</f>
        <v>0.8</v>
      </c>
    </row>
    <row r="7" spans="1:5" x14ac:dyDescent="0.2">
      <c r="A7" s="17">
        <v>20</v>
      </c>
      <c r="B7" s="18">
        <f>'Sample size'!$B$7/SQRT(A7)</f>
        <v>0.15652475842498526</v>
      </c>
      <c r="C7" s="19">
        <f>'Sample size'!$B$5-SIGN('Sample size'!$B$12)*'Sample size'!$B$13*B7</f>
        <v>29.442539683396959</v>
      </c>
      <c r="D7" s="20">
        <f>NORMSDIST(ABS('Sample size'!$B$12)/B7-'Sample size'!$B$13)</f>
        <v>0.35677202831022464</v>
      </c>
      <c r="E7" s="21">
        <f>'Sample size'!$B$9</f>
        <v>0.8</v>
      </c>
    </row>
    <row r="8" spans="1:5" x14ac:dyDescent="0.2">
      <c r="A8" s="17">
        <v>25</v>
      </c>
      <c r="B8" s="18">
        <f>'Sample size'!$B$7/SQRT(A8)</f>
        <v>0.13999999999999999</v>
      </c>
      <c r="C8" s="19">
        <f>'Sample size'!$B$5-SIGN('Sample size'!$B$12)*'Sample size'!$B$13*B8</f>
        <v>29.469720492226795</v>
      </c>
      <c r="D8" s="20">
        <f>NORMSDIST(ABS('Sample size'!$B$12)/B8-'Sample size'!$B$13)</f>
        <v>0.41438389216087207</v>
      </c>
      <c r="E8" s="21">
        <f>'Sample size'!$B$9</f>
        <v>0.8</v>
      </c>
    </row>
    <row r="9" spans="1:5" x14ac:dyDescent="0.2">
      <c r="A9" s="17">
        <v>30</v>
      </c>
      <c r="B9" s="18">
        <f>'Sample size'!$B$7/SQRT(A9)</f>
        <v>0.12780193008453875</v>
      </c>
      <c r="C9" s="19">
        <f>'Sample size'!$B$5-SIGN('Sample size'!$B$12)*'Sample size'!$B$13*B9</f>
        <v>29.489784531769047</v>
      </c>
      <c r="D9" s="20">
        <f>NORMSDIST(ABS('Sample size'!$B$12)/B9-'Sample size'!$B$13)</f>
        <v>0.46814565591109975</v>
      </c>
      <c r="E9" s="21">
        <f>'Sample size'!$B$9</f>
        <v>0.8</v>
      </c>
    </row>
    <row r="10" spans="1:5" x14ac:dyDescent="0.2">
      <c r="A10" s="17">
        <v>35</v>
      </c>
      <c r="B10" s="18">
        <f>'Sample size'!$B$7/SQRT(A10)</f>
        <v>0.11832159566199231</v>
      </c>
      <c r="C10" s="19">
        <f>'Sample size'!$B$5-SIGN('Sample size'!$B$12)*'Sample size'!$B$13*B10</f>
        <v>29.505378294228684</v>
      </c>
      <c r="D10" s="20">
        <f>NORMSDIST(ABS('Sample size'!$B$12)/B10-'Sample size'!$B$13)</f>
        <v>0.51812763187724697</v>
      </c>
      <c r="E10" s="21">
        <f>'Sample size'!$B$9</f>
        <v>0.8</v>
      </c>
    </row>
    <row r="11" spans="1:5" x14ac:dyDescent="0.2">
      <c r="A11" s="17">
        <v>40</v>
      </c>
      <c r="B11" s="18">
        <f>'Sample size'!$B$7/SQRT(A11)</f>
        <v>0.11067971810589326</v>
      </c>
      <c r="C11" s="19">
        <f>'Sample size'!$B$5-SIGN('Sample size'!$B$12)*'Sample size'!$B$13*B11</f>
        <v>29.517948064243555</v>
      </c>
      <c r="D11" s="20">
        <f>NORMSDIST(ABS('Sample size'!$B$12)/B11-'Sample size'!$B$13)</f>
        <v>0.56441092878234556</v>
      </c>
      <c r="E11" s="21">
        <f>'Sample size'!$B$9</f>
        <v>0.8</v>
      </c>
    </row>
    <row r="12" spans="1:5" x14ac:dyDescent="0.2">
      <c r="A12" s="17">
        <v>45</v>
      </c>
      <c r="B12" s="18">
        <f>'Sample size'!$B$7/SQRT(A12)</f>
        <v>0.10434983894999017</v>
      </c>
      <c r="C12" s="19">
        <f>'Sample size'!$B$5-SIGN('Sample size'!$B$12)*'Sample size'!$B$13*B12</f>
        <v>29.528359788931304</v>
      </c>
      <c r="D12" s="20">
        <f>NORMSDIST(ABS('Sample size'!$B$12)/B12-'Sample size'!$B$13)</f>
        <v>0.60710289612009005</v>
      </c>
      <c r="E12" s="21">
        <f>'Sample size'!$B$9</f>
        <v>0.8</v>
      </c>
    </row>
    <row r="13" spans="1:5" x14ac:dyDescent="0.2">
      <c r="A13" s="17">
        <v>50</v>
      </c>
      <c r="B13" s="18">
        <f>'Sample size'!$B$7/SQRT(A13)</f>
        <v>9.899494936611665E-2</v>
      </c>
      <c r="C13" s="19">
        <f>'Sample size'!$B$5-SIGN('Sample size'!$B$12)*'Sample size'!$B$13*B13</f>
        <v>29.537167798485264</v>
      </c>
      <c r="D13" s="20">
        <f>NORMSDIST(ABS('Sample size'!$B$12)/B13-'Sample size'!$B$13)</f>
        <v>0.64633763095831187</v>
      </c>
      <c r="E13" s="21">
        <f>'Sample size'!$B$9</f>
        <v>0.8</v>
      </c>
    </row>
    <row r="14" spans="1:5" x14ac:dyDescent="0.2">
      <c r="A14" s="17">
        <v>55</v>
      </c>
      <c r="B14" s="18">
        <f>'Sample size'!$B$7/SQRT(A14)</f>
        <v>9.4387980744853883E-2</v>
      </c>
      <c r="C14" s="19">
        <f>'Sample size'!$B$5-SIGN('Sample size'!$B$12)*'Sample size'!$B$13*B14</f>
        <v>29.5447455875312</v>
      </c>
      <c r="D14" s="20">
        <f>NORMSDIST(ABS('Sample size'!$B$12)/B14-'Sample size'!$B$13)</f>
        <v>0.6822715199326026</v>
      </c>
      <c r="E14" s="21">
        <f>'Sample size'!$B$9</f>
        <v>0.8</v>
      </c>
    </row>
    <row r="15" spans="1:5" x14ac:dyDescent="0.2">
      <c r="A15" s="17">
        <v>60</v>
      </c>
      <c r="B15" s="18">
        <f>'Sample size'!$B$7/SQRT(A15)</f>
        <v>9.0369611411506387E-2</v>
      </c>
      <c r="C15" s="19">
        <f>'Sample size'!$B$5-SIGN('Sample size'!$B$12)*'Sample size'!$B$13*B15</f>
        <v>29.551355216903588</v>
      </c>
      <c r="D15" s="20">
        <f>NORMSDIST(ABS('Sample size'!$B$12)/B15-'Sample size'!$B$13)</f>
        <v>0.71507747422535384</v>
      </c>
      <c r="E15" s="21">
        <f>'Sample size'!$B$9</f>
        <v>0.8</v>
      </c>
    </row>
    <row r="16" spans="1:5" x14ac:dyDescent="0.2">
      <c r="A16" s="17">
        <v>65</v>
      </c>
      <c r="B16" s="18">
        <f>'Sample size'!$B$7/SQRT(A16)</f>
        <v>8.6824314212445922E-2</v>
      </c>
      <c r="C16" s="19">
        <f>'Sample size'!$B$5-SIGN('Sample size'!$B$12)*'Sample size'!$B$13*B16</f>
        <v>29.557186711860084</v>
      </c>
      <c r="D16" s="20">
        <f>NORMSDIST(ABS('Sample size'!$B$12)/B16-'Sample size'!$B$13)</f>
        <v>0.74493927245912006</v>
      </c>
      <c r="E16" s="21">
        <f>'Sample size'!$B$9</f>
        <v>0.8</v>
      </c>
    </row>
    <row r="17" spans="1:5" x14ac:dyDescent="0.2">
      <c r="A17" s="17">
        <v>70</v>
      </c>
      <c r="B17" s="18">
        <f>'Sample size'!$B$7/SQRT(A17)</f>
        <v>8.3666002653407553E-2</v>
      </c>
      <c r="C17" s="19">
        <f>'Sample size'!$B$5-SIGN('Sample size'!$B$12)*'Sample size'!$B$13*B17</f>
        <v>29.56238167208301</v>
      </c>
      <c r="D17" s="20">
        <f>NORMSDIST(ABS('Sample size'!$B$12)/B17-'Sample size'!$B$13)</f>
        <v>0.77204654370670289</v>
      </c>
      <c r="E17" s="21">
        <f>'Sample size'!$B$9</f>
        <v>0.8</v>
      </c>
    </row>
    <row r="18" spans="1:5" x14ac:dyDescent="0.2">
      <c r="A18" s="17">
        <v>75</v>
      </c>
      <c r="B18" s="18">
        <f>'Sample size'!$B$7/SQRT(A18)</f>
        <v>8.0829037686547589E-2</v>
      </c>
      <c r="C18" s="19">
        <f>'Sample size'!$B$5-SIGN('Sample size'!$B$12)*'Sample size'!$B$13*B18</f>
        <v>29.567048064198286</v>
      </c>
      <c r="D18" s="20">
        <f>NORMSDIST(ABS('Sample size'!$B$12)/B18-'Sample size'!$B$13)</f>
        <v>0.79659055221162656</v>
      </c>
      <c r="E18" s="21">
        <f>'Sample size'!$B$9</f>
        <v>0.8</v>
      </c>
    </row>
    <row r="19" spans="1:5" x14ac:dyDescent="0.2">
      <c r="A19" s="17">
        <v>80</v>
      </c>
      <c r="B19" s="18">
        <f>'Sample size'!$B$7/SQRT(A19)</f>
        <v>7.8262379212492628E-2</v>
      </c>
      <c r="C19" s="19">
        <f>'Sample size'!$B$5-SIGN('Sample size'!$B$12)*'Sample size'!$B$13*B19</f>
        <v>29.571269841698481</v>
      </c>
      <c r="D19" s="20">
        <f>NORMSDIST(ABS('Sample size'!$B$12)/B19-'Sample size'!$B$13)</f>
        <v>0.81876078553458398</v>
      </c>
      <c r="E19" s="21">
        <f>'Sample size'!$B$9</f>
        <v>0.8</v>
      </c>
    </row>
    <row r="20" spans="1:5" x14ac:dyDescent="0.2">
      <c r="A20" s="17">
        <v>85</v>
      </c>
      <c r="B20" s="18">
        <f>'Sample size'!$B$7/SQRT(A20)</f>
        <v>7.5925660236529663E-2</v>
      </c>
      <c r="C20" s="19">
        <f>'Sample size'!$B$5-SIGN('Sample size'!$B$12)*'Sample size'!$B$13*B20</f>
        <v>29.575113402381259</v>
      </c>
      <c r="D20" s="20">
        <f>NORMSDIST(ABS('Sample size'!$B$12)/B20-'Sample size'!$B$13)</f>
        <v>0.83874228052311794</v>
      </c>
      <c r="E20" s="21">
        <f>'Sample size'!$B$9</f>
        <v>0.8</v>
      </c>
    </row>
    <row r="21" spans="1:5" x14ac:dyDescent="0.2">
      <c r="A21" s="17">
        <v>90</v>
      </c>
      <c r="B21" s="18">
        <f>'Sample size'!$B$7/SQRT(A21)</f>
        <v>7.3786478737262184E-2</v>
      </c>
      <c r="C21" s="19">
        <f>'Sample size'!$B$5-SIGN('Sample size'!$B$12)*'Sample size'!$B$13*B21</f>
        <v>29.578632042829035</v>
      </c>
      <c r="D21" s="20">
        <f>NORMSDIST(ABS('Sample size'!$B$12)/B21-'Sample size'!$B$13)</f>
        <v>0.85671359667669711</v>
      </c>
      <c r="E21" s="21">
        <f>'Sample size'!$B$9</f>
        <v>0.8</v>
      </c>
    </row>
    <row r="22" spans="1:5" x14ac:dyDescent="0.2">
      <c r="A22" s="17">
        <v>95</v>
      </c>
      <c r="B22" s="18">
        <f>'Sample size'!$B$7/SQRT(A22)</f>
        <v>7.1818484645960787E-2</v>
      </c>
      <c r="C22" s="19">
        <f>'Sample size'!$B$5-SIGN('Sample size'!$B$12)*'Sample size'!$B$13*B22</f>
        <v>29.581869105047932</v>
      </c>
      <c r="D22" s="20">
        <f>NORMSDIST(ABS('Sample size'!$B$12)/B22-'Sample size'!$B$13)</f>
        <v>0.87284534158585614</v>
      </c>
      <c r="E22" s="21">
        <f>'Sample size'!$B$9</f>
        <v>0.8</v>
      </c>
    </row>
    <row r="23" spans="1:5" x14ac:dyDescent="0.2">
      <c r="A23" s="17">
        <v>100</v>
      </c>
      <c r="B23" s="18">
        <f>'Sample size'!$B$7/SQRT(A23)</f>
        <v>6.9999999999999993E-2</v>
      </c>
      <c r="C23" s="19">
        <f>'Sample size'!$B$5-SIGN('Sample size'!$B$12)*'Sample size'!$B$13*B23</f>
        <v>29.584860246113397</v>
      </c>
      <c r="D23" s="20">
        <f>NORMSDIST(ABS('Sample size'!$B$12)/B23-'Sample size'!$B$13)</f>
        <v>0.88729915749137056</v>
      </c>
      <c r="E23" s="21">
        <f>'Sample size'!$B$9</f>
        <v>0.8</v>
      </c>
    </row>
    <row r="24" spans="1:5" x14ac:dyDescent="0.2">
      <c r="A24" s="17">
        <v>105</v>
      </c>
      <c r="B24" s="18">
        <f>'Sample size'!$B$7/SQRT(A24)</f>
        <v>6.8313005106397318E-2</v>
      </c>
      <c r="C24" s="19">
        <f>'Sample size'!$B$5-SIGN('Sample size'!$B$12)*'Sample size'!$B$13*B24</f>
        <v>29.587635105782788</v>
      </c>
      <c r="D24" s="20">
        <f>NORMSDIST(ABS('Sample size'!$B$12)/B24-'Sample size'!$B$13)</f>
        <v>0.90022708640733584</v>
      </c>
      <c r="E24" s="21">
        <f>'Sample size'!$B$9</f>
        <v>0.8</v>
      </c>
    </row>
    <row r="25" spans="1:5" x14ac:dyDescent="0.2">
      <c r="A25" s="17">
        <v>110</v>
      </c>
      <c r="B25" s="18">
        <f>'Sample size'!$B$7/SQRT(A25)</f>
        <v>6.6742381247191451E-2</v>
      </c>
      <c r="C25" s="19">
        <f>'Sample size'!$B$5-SIGN('Sample size'!$B$12)*'Sample size'!$B$13*B25</f>
        <v>29.590218552134179</v>
      </c>
      <c r="D25" s="20">
        <f>NORMSDIST(ABS('Sample size'!$B$12)/B25-'Sample size'!$B$13)</f>
        <v>0.91177124106077856</v>
      </c>
      <c r="E25" s="21">
        <f>'Sample size'!$B$9</f>
        <v>0.8</v>
      </c>
    </row>
    <row r="26" spans="1:5" x14ac:dyDescent="0.2">
      <c r="A26" s="17">
        <v>115</v>
      </c>
      <c r="B26" s="18">
        <f>'Sample size'!$B$7/SQRT(A26)</f>
        <v>6.5275336576821968E-2</v>
      </c>
      <c r="C26" s="19">
        <f>'Sample size'!$B$5-SIGN('Sample size'!$B$12)*'Sample size'!$B$13*B26</f>
        <v>29.592631625881136</v>
      </c>
      <c r="D26" s="20">
        <f>NORMSDIST(ABS('Sample size'!$B$12)/B26-'Sample size'!$B$13)</f>
        <v>0.92206371880308879</v>
      </c>
      <c r="E26" s="21">
        <f>'Sample size'!$B$9</f>
        <v>0.8</v>
      </c>
    </row>
    <row r="27" spans="1:5" x14ac:dyDescent="0.2">
      <c r="A27" s="17">
        <v>120</v>
      </c>
      <c r="B27" s="18">
        <f>'Sample size'!$B$7/SQRT(A27)</f>
        <v>6.3900965042269373E-2</v>
      </c>
      <c r="C27" s="19">
        <f>'Sample size'!$B$5-SIGN('Sample size'!$B$12)*'Sample size'!$B$13*B27</f>
        <v>29.594892265884525</v>
      </c>
      <c r="D27" s="20">
        <f>NORMSDIST(ABS('Sample size'!$B$12)/B27-'Sample size'!$B$13)</f>
        <v>0.93122670499930416</v>
      </c>
      <c r="E27" s="21">
        <f>'Sample size'!$B$9</f>
        <v>0.8</v>
      </c>
    </row>
    <row r="28" spans="1:5" x14ac:dyDescent="0.2">
      <c r="A28" s="17">
        <v>125</v>
      </c>
      <c r="B28" s="18">
        <f>'Sample size'!$B$7/SQRT(A28)</f>
        <v>6.2609903369994099E-2</v>
      </c>
      <c r="C28" s="19">
        <f>'Sample size'!$B$5-SIGN('Sample size'!$B$12)*'Sample size'!$B$13*B28</f>
        <v>29.597015873358782</v>
      </c>
      <c r="D28" s="20">
        <f>NORMSDIST(ABS('Sample size'!$B$12)/B28-'Sample size'!$B$13)</f>
        <v>0.93937272090784152</v>
      </c>
      <c r="E28" s="21">
        <f>'Sample size'!$B$9</f>
        <v>0.8</v>
      </c>
    </row>
    <row r="29" spans="1:5" x14ac:dyDescent="0.2">
      <c r="A29" s="17">
        <v>130</v>
      </c>
      <c r="B29" s="18">
        <f>'Sample size'!$B$7/SQRT(A29)</f>
        <v>6.1394061351492044E-2</v>
      </c>
      <c r="C29" s="19">
        <f>'Sample size'!$B$5-SIGN('Sample size'!$B$12)*'Sample size'!$B$13*B29</f>
        <v>29.599015755512717</v>
      </c>
      <c r="D29" s="20">
        <f>NORMSDIST(ABS('Sample size'!$B$12)/B29-'Sample size'!$B$13)</f>
        <v>0.94660497862222071</v>
      </c>
      <c r="E29" s="21">
        <f>'Sample size'!$B$9</f>
        <v>0.8</v>
      </c>
    </row>
    <row r="30" spans="1:5" x14ac:dyDescent="0.2">
      <c r="A30" s="17">
        <v>135</v>
      </c>
      <c r="B30" s="18">
        <f>'Sample size'!$B$7/SQRT(A30)</f>
        <v>6.0246407607670929E-2</v>
      </c>
      <c r="C30" s="19">
        <f>'Sample size'!$B$5-SIGN('Sample size'!$B$12)*'Sample size'!$B$13*B30</f>
        <v>29.600903477935724</v>
      </c>
      <c r="D30" s="20">
        <f>NORMSDIST(ABS('Sample size'!$B$12)/B30-'Sample size'!$B$13)</f>
        <v>0.9530178122545635</v>
      </c>
      <c r="E30" s="21">
        <f>'Sample size'!$B$9</f>
        <v>0.8</v>
      </c>
    </row>
    <row r="31" spans="1:5" x14ac:dyDescent="0.2">
      <c r="A31" s="17">
        <v>140</v>
      </c>
      <c r="B31" s="18">
        <f>'Sample size'!$B$7/SQRT(A31)</f>
        <v>5.9160797830996155E-2</v>
      </c>
      <c r="C31" s="19">
        <f>'Sample size'!$B$5-SIGN('Sample size'!$B$12)*'Sample size'!$B$13*B31</f>
        <v>29.602689147114344</v>
      </c>
      <c r="D31" s="20">
        <f>NORMSDIST(ABS('Sample size'!$B$12)/B31-'Sample size'!$B$13)</f>
        <v>0.95869716024730645</v>
      </c>
      <c r="E31" s="21">
        <f>'Sample size'!$B$9</f>
        <v>0.8</v>
      </c>
    </row>
    <row r="32" spans="1:5" x14ac:dyDescent="0.2">
      <c r="A32" s="17">
        <v>145</v>
      </c>
      <c r="B32" s="18">
        <f>'Sample size'!$B$7/SQRT(A32)</f>
        <v>5.8131835897617973E-2</v>
      </c>
      <c r="C32" s="19">
        <f>'Sample size'!$B$5-SIGN('Sample size'!$B$12)*'Sample size'!$B$13*B32</f>
        <v>29.604381638882455</v>
      </c>
      <c r="D32" s="20">
        <f>NORMSDIST(ABS('Sample size'!$B$12)/B32-'Sample size'!$B$13)</f>
        <v>0.9637210785788185</v>
      </c>
      <c r="E32" s="21">
        <f>'Sample size'!$B$9</f>
        <v>0.8</v>
      </c>
    </row>
    <row r="33" spans="1:5" x14ac:dyDescent="0.2">
      <c r="A33" s="17">
        <v>150</v>
      </c>
      <c r="B33" s="18">
        <f>'Sample size'!$B$7/SQRT(A33)</f>
        <v>5.7154760664940817E-2</v>
      </c>
      <c r="C33" s="19">
        <f>'Sample size'!$B$5-SIGN('Sample size'!$B$12)*'Sample size'!$B$13*B33</f>
        <v>29.605988784622728</v>
      </c>
      <c r="D33" s="20">
        <f>NORMSDIST(ABS('Sample size'!$B$12)/B33-'Sample size'!$B$13)</f>
        <v>0.96816026876469963</v>
      </c>
      <c r="E33" s="21">
        <f>'Sample size'!$B$9</f>
        <v>0.8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zoomScaleNormal="100" workbookViewId="0">
      <selection activeCell="A3" sqref="A3"/>
    </sheetView>
  </sheetViews>
  <sheetFormatPr baseColWidth="10" defaultColWidth="8.6640625" defaultRowHeight="15" x14ac:dyDescent="0.2"/>
  <cols>
    <col min="1" max="1" width="18" customWidth="1"/>
    <col min="2" max="6" width="11" customWidth="1"/>
  </cols>
  <sheetData>
    <row r="1" spans="1:6" ht="18" x14ac:dyDescent="0.2">
      <c r="A1" s="1" t="s">
        <v>45</v>
      </c>
    </row>
    <row r="2" spans="1:6" x14ac:dyDescent="0.2">
      <c r="A2" s="26" t="s">
        <v>53</v>
      </c>
    </row>
    <row r="4" spans="1:6" x14ac:dyDescent="0.2">
      <c r="A4" s="3" t="s">
        <v>46</v>
      </c>
      <c r="B4" s="22">
        <v>0.1</v>
      </c>
      <c r="C4" s="22">
        <v>0.15</v>
      </c>
      <c r="D4" s="22">
        <v>0.2</v>
      </c>
      <c r="E4" s="22">
        <v>0.25</v>
      </c>
      <c r="F4" s="22">
        <v>0.3</v>
      </c>
    </row>
    <row r="5" spans="1:6" x14ac:dyDescent="0.2">
      <c r="A5" s="23">
        <v>0.5</v>
      </c>
      <c r="B5" s="24">
        <f>ROUNDUP(('Sample size'!$B$15*$A5/B$4)^2,0)</f>
        <v>155</v>
      </c>
      <c r="C5" s="24">
        <f>ROUNDUP(('Sample size'!$B$15*$A5/C$4)^2,0)</f>
        <v>69</v>
      </c>
      <c r="D5" s="24">
        <f>ROUNDUP(('Sample size'!$B$15*$A5/D$4)^2,0)</f>
        <v>39</v>
      </c>
      <c r="E5" s="24">
        <f>ROUNDUP(('Sample size'!$B$15*$A5/E$4)^2,0)</f>
        <v>25</v>
      </c>
      <c r="F5" s="24">
        <f>ROUNDUP(('Sample size'!$B$15*$A5/F$4)^2,0)</f>
        <v>18</v>
      </c>
    </row>
    <row r="6" spans="1:6" x14ac:dyDescent="0.2">
      <c r="A6" s="23">
        <v>0.6</v>
      </c>
      <c r="B6" s="24">
        <f>ROUNDUP(('Sample size'!$B$15*$A6/B$4)^2,0)</f>
        <v>223</v>
      </c>
      <c r="C6" s="24">
        <f>ROUNDUP(('Sample size'!$B$15*$A6/C$4)^2,0)</f>
        <v>99</v>
      </c>
      <c r="D6" s="24">
        <f>ROUNDUP(('Sample size'!$B$15*$A6/D$4)^2,0)</f>
        <v>56</v>
      </c>
      <c r="E6" s="24">
        <f>ROUNDUP(('Sample size'!$B$15*$A6/E$4)^2,0)</f>
        <v>36</v>
      </c>
      <c r="F6" s="24">
        <f>ROUNDUP(('Sample size'!$B$15*$A6/F$4)^2,0)</f>
        <v>25</v>
      </c>
    </row>
    <row r="7" spans="1:6" x14ac:dyDescent="0.2">
      <c r="A7" s="23">
        <v>0.7</v>
      </c>
      <c r="B7" s="24">
        <f>ROUNDUP(('Sample size'!$B$15*$A7/B$4)^2,0)</f>
        <v>303</v>
      </c>
      <c r="C7" s="24">
        <f>ROUNDUP(('Sample size'!$B$15*$A7/C$4)^2,0)</f>
        <v>135</v>
      </c>
      <c r="D7" s="25">
        <f>ROUNDUP(('Sample size'!$B$15*$A7/D$4)^2,0)</f>
        <v>76</v>
      </c>
      <c r="E7" s="24">
        <f>ROUNDUP(('Sample size'!$B$15*$A7/E$4)^2,0)</f>
        <v>49</v>
      </c>
      <c r="F7" s="24">
        <f>ROUNDUP(('Sample size'!$B$15*$A7/F$4)^2,0)</f>
        <v>34</v>
      </c>
    </row>
    <row r="8" spans="1:6" x14ac:dyDescent="0.2">
      <c r="A8" s="23">
        <v>0.8</v>
      </c>
      <c r="B8" s="24">
        <f>ROUNDUP(('Sample size'!$B$15*$A8/B$4)^2,0)</f>
        <v>396</v>
      </c>
      <c r="C8" s="24">
        <f>ROUNDUP(('Sample size'!$B$15*$A8/C$4)^2,0)</f>
        <v>176</v>
      </c>
      <c r="D8" s="24">
        <f>ROUNDUP(('Sample size'!$B$15*$A8/D$4)^2,0)</f>
        <v>99</v>
      </c>
      <c r="E8" s="24">
        <f>ROUNDUP(('Sample size'!$B$15*$A8/E$4)^2,0)</f>
        <v>64</v>
      </c>
      <c r="F8" s="24">
        <f>ROUNDUP(('Sample size'!$B$15*$A8/F$4)^2,0)</f>
        <v>44</v>
      </c>
    </row>
    <row r="9" spans="1:6" x14ac:dyDescent="0.2">
      <c r="A9" s="23">
        <v>0.9</v>
      </c>
      <c r="B9" s="24">
        <f>ROUNDUP(('Sample size'!$B$15*$A9/B$4)^2,0)</f>
        <v>501</v>
      </c>
      <c r="C9" s="24">
        <f>ROUNDUP(('Sample size'!$B$15*$A9/C$4)^2,0)</f>
        <v>223</v>
      </c>
      <c r="D9" s="24">
        <f>ROUNDUP(('Sample size'!$B$15*$A9/D$4)^2,0)</f>
        <v>126</v>
      </c>
      <c r="E9" s="24">
        <f>ROUNDUP(('Sample size'!$B$15*$A9/E$4)^2,0)</f>
        <v>81</v>
      </c>
      <c r="F9" s="24">
        <f>ROUNDUP(('Sample size'!$B$15*$A9/F$4)^2,0)</f>
        <v>56</v>
      </c>
    </row>
    <row r="10" spans="1:6" x14ac:dyDescent="0.2">
      <c r="A10" s="23">
        <v>1</v>
      </c>
      <c r="B10" s="24">
        <f>ROUNDUP(('Sample size'!$B$15*$A10/B$4)^2,0)</f>
        <v>619</v>
      </c>
      <c r="C10" s="24">
        <f>ROUNDUP(('Sample size'!$B$15*$A10/C$4)^2,0)</f>
        <v>275</v>
      </c>
      <c r="D10" s="24">
        <f>ROUNDUP(('Sample size'!$B$15*$A10/D$4)^2,0)</f>
        <v>155</v>
      </c>
      <c r="E10" s="24">
        <f>ROUNDUP(('Sample size'!$B$15*$A10/E$4)^2,0)</f>
        <v>99</v>
      </c>
      <c r="F10" s="24">
        <f>ROUNDUP(('Sample size'!$B$15*$A10/F$4)^2,0)</f>
        <v>69</v>
      </c>
    </row>
    <row r="12" spans="1:6" x14ac:dyDescent="0.2">
      <c r="A12" s="2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size</vt:lpstr>
      <vt:lpstr>Power curve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 Reed Walker</cp:lastModifiedBy>
  <cp:revision>1</cp:revision>
  <dcterms:created xsi:type="dcterms:W3CDTF">2026-10-01T00:47:59Z</dcterms:created>
  <dcterms:modified xsi:type="dcterms:W3CDTF">2026-10-01T00:56:02Z</dcterms:modified>
  <dc:language>en-US</dc:language>
</cp:coreProperties>
</file>