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ME Calculator" sheetId="1" state="visible" r:id="rId3"/>
    <sheet name="Response Rate Scenarios" sheetId="2" state="visible" r:id="rId4"/>
    <sheet name="NPS 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<sst xmlns="http://schemas.openxmlformats.org/spreadsheetml/2006/main" count="64" uniqueCount="61">
  <si>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Total Margin of Error (TME) Calculator</t>
  </si>
  <si>
    <t xml:space="preserve">Dominitz &amp; Manski (2025), 'Using Total Margin of Error to Account for Non-Sampling Error in Election Polls,' JASA Applications &amp; Case Studies. Exercise for Data and Decisions.</t>
  </si>
  <si>
    <t xml:space="preserve">LEGEND</t>
  </si>
  <si>
    <t xml:space="preserve">Yellow cells with blue text are the inputs — edit these. Everything else is a formula.</t>
  </si>
  <si>
    <t xml:space="preserve">INPUTS</t>
  </si>
  <si>
    <t xml:space="preserve">Voters contacted (sampled)</t>
  </si>
  <si>
    <t xml:space="preserve">Completed responses (n)</t>
  </si>
  <si>
    <t xml:space="preserve">Share supporting candidate A among respondents</t>
  </si>
  <si>
    <t xml:space="preserve">Assumed MINIMUM support among nonrespondents</t>
  </si>
  <si>
    <t xml:space="preserve">Assumed MAXIMUM support among nonrespondents</t>
  </si>
  <si>
    <t xml:space="preserve">Set min = 0% and max = 100% for pure worst-case (no-assumptions) bounds. Tighten the band to see what assumptions buy.</t>
  </si>
  <si>
    <t xml:space="preserve">STEP 1 — RESPONSE RATE AND THE KNOWN PIECE</t>
  </si>
  <si>
    <t xml:space="preserve">Response rate (r)</t>
  </si>
  <si>
    <t xml:space="preserve">Nonresponse rate (1 − r)</t>
  </si>
  <si>
    <t xml:space="preserve">Known component:  r × respondent share</t>
  </si>
  <si>
    <t xml:space="preserve">STEP 2 — THE IDENTIFIED INTERVAL (BOUNDS)</t>
  </si>
  <si>
    <t xml:space="preserve">Lower bound:  r×share + (1−r)×min</t>
  </si>
  <si>
    <t xml:space="preserve">Upper bound:  r×share + (1−r)×max</t>
  </si>
  <si>
    <t xml:space="preserve">Interval width  (= nonresponse rate when band is 0–100%)</t>
  </si>
  <si>
    <t xml:space="preserve">STEP 3 — POINT ESTIMATES AND WORST-CASE BIAS</t>
  </si>
  <si>
    <t xml:space="preserve">Conventional</t>
  </si>
  <si>
    <t xml:space="preserve">Midpoint</t>
  </si>
  <si>
    <t xml:space="preserve">Point estimate</t>
  </si>
  <si>
    <t xml:space="preserve">Worst-case bias (max distance to an interval endpoint)</t>
  </si>
  <si>
    <t xml:space="preserve">STEP 4 — TOTAL MARGIN OF ERROR</t>
  </si>
  <si>
    <t xml:space="preserve">Sampling standard error  √(p(1−p)/n)</t>
  </si>
  <si>
    <t xml:space="preserve">Conventional reported MoE  (±1.96 × SE)</t>
  </si>
  <si>
    <t xml:space="preserve">TME = √(worst-case bias² + SE²)</t>
  </si>
  <si>
    <t xml:space="preserve">Share of TME² coming from nonresponse (not sampling)</t>
  </si>
  <si>
    <t xml:space="preserve">THE HONEST HEADLINE</t>
  </si>
  <si>
    <t xml:space="preserve">PICTURE THE INTERVAL (0% to 100% scale)</t>
  </si>
  <si>
    <t xml:space="preserve">Solid block = values of true support consistent with the data + your assumption band.</t>
  </si>
  <si>
    <t xml:space="preserve">What the response rate does to the bounds</t>
  </si>
  <si>
    <t xml:space="preserve">Worst-case (no-assumptions) bounds. Respondent share of 60% and n = 1,000 held fixed throughout; only the response rate changes.</t>
  </si>
  <si>
    <t xml:space="preserve">Scenario</t>
  </si>
  <si>
    <t xml:space="preserve">Response rate</t>
  </si>
  <si>
    <t xml:space="preserve">Lower bound</t>
  </si>
  <si>
    <t xml:space="preserve">Upper bound</t>
  </si>
  <si>
    <t xml:space="preserve">Interval width</t>
  </si>
  <si>
    <t xml:space="preserve">Midpoint TME</t>
  </si>
  <si>
    <t xml:space="preserve">Reported MoE</t>
  </si>
  <si>
    <t xml:space="preserve">1990s phone poll</t>
  </si>
  <si>
    <t xml:space="preserve">Good panel today</t>
  </si>
  <si>
    <t xml:space="preserve">Typical online panel</t>
  </si>
  <si>
    <t xml:space="preserve">Modern phone poll</t>
  </si>
  <si>
    <t xml:space="preserve">Assumptions used in this table:</t>
  </si>
  <si>
    <t xml:space="preserve">Respondent share for candidate A</t>
  </si>
  <si>
    <t xml:space="preserve">Number of respondents (n)</t>
  </si>
  <si>
    <t xml:space="preserve">Discussion prompt: the reported MoE never moves. Which column actually describes what we know?</t>
  </si>
  <si>
    <t xml:space="preserve">Same math, business setting: customer satisfaction</t>
  </si>
  <si>
    <t xml:space="preserve">Your dashboard says 'satisfaction' (share of surveyed customers rating you 9 or 10) moved. Before reacting, bound it. Example values below are illustrative — replace with your own survey's numbers.</t>
  </si>
  <si>
    <t xml:space="preserve">Customers emailed the survey</t>
  </si>
  <si>
    <t xml:space="preserve">Customers who responded</t>
  </si>
  <si>
    <t xml:space="preserve">Share of respondents rating 9–10 ('promoters')</t>
  </si>
  <si>
    <t xml:space="preserve">BOUNDS AND TME</t>
  </si>
  <si>
    <t xml:space="preserve">Worst-case lower bound on true promoter share</t>
  </si>
  <si>
    <t xml:space="preserve">Worst-case upper bound</t>
  </si>
  <si>
    <t xml:space="preserve">Midpoint estimate</t>
  </si>
  <si>
    <t xml:space="preserve">Sampling SE (the part dashboards report, if anything)</t>
  </si>
  <si>
    <t xml:space="preserve">TME (worst case)</t>
  </si>
  <si>
    <t xml:space="preserve">Decision question for class: last quarter this metric read 4 points higher on the same instrument. Is the 'drop' information, or noise inside the bounds? What assumption about nonrespondents would you need to defend before acting — and is it plausible that unhappy customers respond at the same rate as delighted ones?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</si>
</sst>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</row>
    <row r="8" customFormat="false" ht="15" hidden="false" customHeight="false" outlineLevel="0" collapsed="false">
      <c r="B8" s="5" t="s">
        <v>4</v>
      </c>
      <c r="C8" s="6"/>
      <c r="D8" s="6"/>
    </row>
    <row r="9" customFormat="false" ht="15" hidden="false" customHeight="false" outlineLevel="0" collapsed="false">
      <c r="B9" s="7" t="s">
        <v>5</v>
      </c>
      <c r="C9" s="8" t="n">
        <v>1250</v>
      </c>
    </row>
    <row r="10" customFormat="false" ht="15" hidden="false" customHeight="false" outlineLevel="0" collapsed="false">
      <c r="B10" s="7" t="s">
        <v>6</v>
      </c>
      <c r="C10" s="8" t="n">
        <v>1000</v>
      </c>
    </row>
    <row r="11" customFormat="false" ht="15" hidden="false" customHeight="false" outlineLevel="0" collapsed="false">
      <c r="B11" s="7" t="s">
        <v>7</v>
      </c>
      <c r="C11" s="9" t="n">
        <v>0.6</v>
      </c>
    </row>
    <row r="12" customFormat="false" ht="15" hidden="false" customHeight="false" outlineLevel="0" collapsed="false">
      <c r="B12" s="7" t="s">
        <v>8</v>
      </c>
      <c r="C12" s="9" t="n">
        <v>0</v>
      </c>
    </row>
    <row r="13" customFormat="false" ht="15" hidden="false" customHeight="false" outlineLevel="0" collapsed="false">
      <c r="B13" s="7" t="s">
        <v>9</v>
      </c>
      <c r="C13" s="9" t="n">
        <v>1</v>
      </c>
    </row>
    <row r="14" customFormat="false" ht="24" hidden="false" customHeight="true" outlineLevel="0" collapsed="false">
      <c r="B14" s="2" t="s">
        <v>10</v>
      </c>
      <c r="C14" s="2"/>
      <c r="D14" s="2"/>
    </row>
    <row r="16" customFormat="false" ht="15" hidden="false" customHeight="false" outlineLevel="0" collapsed="false">
      <c r="B16" s="5" t="s">
        <v>11</v>
      </c>
      <c r="C16" s="6"/>
      <c r="D16" s="6"/>
    </row>
    <row r="17" customFormat="false" ht="15" hidden="false" customHeight="false" outlineLevel="0" collapsed="false">
      <c r="B17" s="7" t="s">
        <v>12</v>
      </c>
      <c r="C17" s="10" t="n">
        <f aca="false">C10/C9</f>
        <v>0.8</v>
      </c>
    </row>
    <row r="18" customFormat="false" ht="15" hidden="false" customHeight="false" outlineLevel="0" collapsed="false">
      <c r="B18" s="7" t="s">
        <v>13</v>
      </c>
      <c r="C18" s="10" t="n">
        <f aca="false">1-C17</f>
        <v>0.2</v>
      </c>
    </row>
    <row r="19" customFormat="false" ht="15" hidden="false" customHeight="false" outlineLevel="0" collapsed="false">
      <c r="B19" s="7" t="s">
        <v>14</v>
      </c>
      <c r="C19" s="10" t="n">
        <f aca="false">C17*C11</f>
        <v>0.48</v>
      </c>
    </row>
    <row r="21" customFormat="false" ht="15" hidden="false" customHeight="false" outlineLevel="0" collapsed="false">
      <c r="B21" s="5" t="s">
        <v>15</v>
      </c>
      <c r="C21" s="6"/>
      <c r="D21" s="6"/>
    </row>
    <row r="22" customFormat="false" ht="15" hidden="false" customHeight="false" outlineLevel="0" collapsed="false">
      <c r="B22" s="7" t="s">
        <v>16</v>
      </c>
      <c r="C22" s="10" t="n">
        <f aca="false">C19+C18*C12</f>
        <v>0.48</v>
      </c>
    </row>
    <row r="23" customFormat="false" ht="15" hidden="false" customHeight="false" outlineLevel="0" collapsed="false">
      <c r="B23" s="7" t="s">
        <v>17</v>
      </c>
      <c r="C23" s="10" t="n">
        <f aca="false">C19+C18*C13</f>
        <v>0.68</v>
      </c>
    </row>
    <row r="24" customFormat="false" ht="15" hidden="false" customHeight="false" outlineLevel="0" collapsed="false">
      <c r="B24" s="7" t="s">
        <v>18</v>
      </c>
      <c r="C24" s="10" t="n">
        <f aca="false">C23-C22</f>
        <v>0.2</v>
      </c>
    </row>
    <row r="26" customFormat="false" ht="15" hidden="false" customHeight="false" outlineLevel="0" collapsed="false">
      <c r="B26" s="5" t="s">
        <v>19</v>
      </c>
      <c r="C26" s="6"/>
      <c r="D26" s="6"/>
    </row>
    <row r="27" customFormat="false" ht="15" hidden="false" customHeight="false" outlineLevel="0" collapsed="false">
      <c r="C27" s="11" t="s">
        <v>20</v>
      </c>
      <c r="D27" s="11" t="s">
        <v>21</v>
      </c>
    </row>
    <row r="28" customFormat="false" ht="15" hidden="false" customHeight="false" outlineLevel="0" collapsed="false">
      <c r="B28" s="7" t="s">
        <v>22</v>
      </c>
      <c r="C28" s="10" t="n">
        <f aca="false">C11</f>
        <v>0.6</v>
      </c>
      <c r="D28" s="10" t="n">
        <f aca="false">(C22+C23)/2</f>
        <v>0.58</v>
      </c>
    </row>
    <row r="29" customFormat="false" ht="15" hidden="false" customHeight="false" outlineLevel="0" collapsed="false">
      <c r="B29" s="7" t="s">
        <v>23</v>
      </c>
      <c r="C29" s="10" t="n">
        <f aca="false">MAX(C28-C22,C23-C28)</f>
        <v>0.12</v>
      </c>
      <c r="D29" s="10" t="n">
        <f aca="false">(C23-C22)/2</f>
        <v>0.1</v>
      </c>
    </row>
    <row r="31" customFormat="false" ht="15" hidden="false" customHeight="false" outlineLevel="0" collapsed="false">
      <c r="B31" s="5" t="s">
        <v>24</v>
      </c>
      <c r="C31" s="6"/>
      <c r="D31" s="6"/>
    </row>
    <row r="32" customFormat="false" ht="15" hidden="false" customHeight="false" outlineLevel="0" collapsed="false">
      <c r="B32" s="7" t="s">
        <v>25</v>
      </c>
      <c r="C32" s="10" t="n">
        <f aca="false">SQRT(C11*(1-C11)/C10)</f>
        <v>0.0154919333848297</v>
      </c>
      <c r="D32" s="10" t="n">
        <f aca="false">C32</f>
        <v>0.0154919333848297</v>
      </c>
    </row>
    <row r="33" customFormat="false" ht="15" hidden="false" customHeight="false" outlineLevel="0" collapsed="false">
      <c r="B33" s="7" t="s">
        <v>26</v>
      </c>
      <c r="C33" s="10" t="n">
        <f aca="false">1.96*C32</f>
        <v>0.0303641894342661</v>
      </c>
      <c r="D33" s="7"/>
    </row>
    <row r="34" customFormat="false" ht="15" hidden="false" customHeight="false" outlineLevel="0" collapsed="false">
      <c r="B34" s="12" t="s">
        <v>27</v>
      </c>
      <c r="C34" s="13" t="n">
        <f aca="false">SQRT(C29^2+C32^2)</f>
        <v>0.120995867698033</v>
      </c>
      <c r="D34" s="13" t="n">
        <f aca="false">SQRT(D29^2+D32^2)</f>
        <v>0.101192885125388</v>
      </c>
    </row>
    <row r="35" customFormat="false" ht="15" hidden="false" customHeight="false" outlineLevel="0" collapsed="false">
      <c r="B35" s="7" t="s">
        <v>28</v>
      </c>
      <c r="C35" s="10" t="n">
        <f aca="false">C29^2/(C29^2+C32^2)</f>
        <v>0.983606557377049</v>
      </c>
      <c r="D35" s="10" t="n">
        <f aca="false">D29^2/(D29^2+D32^2)</f>
        <v>0.9765625</v>
      </c>
    </row>
    <row r="37" customFormat="false" ht="15" hidden="false" customHeight="false" outlineLevel="0" collapsed="false">
      <c r="B37" s="5" t="s">
        <v>29</v>
      </c>
      <c r="C37" s="6"/>
      <c r="D37" s="6"/>
    </row>
    <row r="38" customFormat="false" ht="15" hidden="false" customHeight="false" outlineLevel="0" collapsed="false">
      <c r="B38" s="14" t="str">
        <f aca="false">"Reported:  "&amp;TEXT(C28,"0.0%")&amp;"  ±  "&amp;TEXT(C33,"0.0%")&amp;"  (sampling error only)"</f>
        <v>Reported:  60.0%  ±  3.0%  (sampling error only)</v>
      </c>
      <c r="C38" s="14"/>
      <c r="D38" s="14"/>
    </row>
    <row r="39" customFormat="false" ht="15" hidden="false" customHeight="false" outlineLevel="0" collapsed="false">
      <c r="B39" s="15" t="str">
        <f aca="false">"Honest:  somewhere between  "&amp;TEXT(C22,"0.0%")&amp;"  and  "&amp;TEXT(C23,"0.0%")&amp;"  —  midpoint "&amp;TEXT(D28,"0.0%")&amp;"  ±  "&amp;TEXT(D34,"0.0%")&amp;"  (TME)"</f>
        <v>Honest:  somewhere between  48.0%  and  68.0%  —  midpoint 58.0%  ±  10.1%  (TME)</v>
      </c>
      <c r="C39" s="15"/>
      <c r="D39" s="15"/>
    </row>
    <row r="41" customFormat="false" ht="15" hidden="false" customHeight="false" outlineLevel="0" collapsed="false">
      <c r="B41" s="5" t="s">
        <v>30</v>
      </c>
      <c r="C41" s="6"/>
      <c r="D41" s="6"/>
    </row>
    <row r="42" customFormat="false" ht="15" hidden="false" customHeight="false" outlineLevel="0" collapsed="false">
      <c r="B42" s="16" t="str">
        <f aca="false">REPT("·",ROUND(C22*50,0))&amp;REPT("█",MAX(1,ROUND((C23-C22)*50,0)))&amp;REPT("·",ROUND((1-C23)*50,0))</f>
        <v>························██████████················</v>
      </c>
      <c r="C42" s="16"/>
      <c r="D42" s="16"/>
    </row>
    <row r="43" customFormat="false" ht="15" hidden="false" customHeight="false" outlineLevel="0" collapsed="false">
      <c r="B43" s="4" t="s">
        <v>31</v>
      </c>
      <c r="C43" s="4"/>
      <c r="D43" s="4"/>
    </row>
  </sheetData>
  <mergeCells count="7">
    <mergeCell ref="B3:D3"/>
    <mergeCell ref="B6:D6"/>
    <mergeCell ref="B14:D14"/>
    <mergeCell ref="B38:D38"/>
    <mergeCell ref="B39:D39"/>
    <mergeCell ref="B42:D42"/>
    <mergeCell ref="B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8" min="3" style="0" width="13"/>
  </cols>
  <sheetData>
    <row r="2" customFormat="false" ht="17.35" hidden="false" customHeight="false" outlineLevel="0" collapsed="false">
      <c r="B2" s="1" t="s">
        <v>32</v>
      </c>
    </row>
    <row r="3" customFormat="false" ht="15" hidden="false" customHeight="false" outlineLevel="0" collapsed="false">
      <c r="B3" s="4" t="s">
        <v>33</v>
      </c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B5" s="17" t="s">
        <v>34</v>
      </c>
      <c r="C5" s="17" t="s">
        <v>35</v>
      </c>
      <c r="D5" s="17" t="s">
        <v>36</v>
      </c>
      <c r="E5" s="17" t="s">
        <v>37</v>
      </c>
      <c r="F5" s="17" t="s">
        <v>38</v>
      </c>
      <c r="G5" s="17" t="s">
        <v>39</v>
      </c>
      <c r="H5" s="17" t="s">
        <v>40</v>
      </c>
    </row>
    <row r="6" customFormat="false" ht="15" hidden="false" customHeight="false" outlineLevel="0" collapsed="false">
      <c r="B6" s="7" t="s">
        <v>41</v>
      </c>
      <c r="C6" s="18" t="n">
        <v>0.8</v>
      </c>
      <c r="D6" s="19" t="n">
        <f aca="false">C6*$C$13</f>
        <v>0.48</v>
      </c>
      <c r="E6" s="19" t="n">
        <f aca="false">C6*$C$13+(1-C6)</f>
        <v>0.68</v>
      </c>
      <c r="F6" s="19" t="n">
        <f aca="false">E6-D6</f>
        <v>0.2</v>
      </c>
      <c r="G6" s="19" t="n">
        <f aca="false">SQRT(((E6-D6)/2)^2+$C$13*(1-$C$13)/$C$14)</f>
        <v>0.101192885125388</v>
      </c>
      <c r="H6" s="19" t="n">
        <f aca="false">1.96*SQRT($C$13*(1-$C$13)/$C$14)</f>
        <v>0.0303641894342661</v>
      </c>
    </row>
    <row r="7" customFormat="false" ht="15" hidden="false" customHeight="false" outlineLevel="0" collapsed="false">
      <c r="B7" s="7" t="s">
        <v>42</v>
      </c>
      <c r="C7" s="18" t="n">
        <v>0.5</v>
      </c>
      <c r="D7" s="19" t="n">
        <f aca="false">C7*$C$13</f>
        <v>0.3</v>
      </c>
      <c r="E7" s="19" t="n">
        <f aca="false">C7*$C$13+(1-C7)</f>
        <v>0.8</v>
      </c>
      <c r="F7" s="19" t="n">
        <f aca="false">E7-D7</f>
        <v>0.5</v>
      </c>
      <c r="G7" s="19" t="n">
        <f aca="false">SQRT(((E7-D7)/2)^2+$C$13*(1-$C$13)/$C$14)</f>
        <v>0.250479540082618</v>
      </c>
      <c r="H7" s="19" t="n">
        <f aca="false">1.96*SQRT($C$13*(1-$C$13)/$C$14)</f>
        <v>0.0303641894342661</v>
      </c>
    </row>
    <row r="8" customFormat="false" ht="15" hidden="false" customHeight="false" outlineLevel="0" collapsed="false">
      <c r="B8" s="7" t="s">
        <v>43</v>
      </c>
      <c r="C8" s="18" t="n">
        <v>0.2</v>
      </c>
      <c r="D8" s="19" t="n">
        <f aca="false">C8*$C$13</f>
        <v>0.12</v>
      </c>
      <c r="E8" s="19" t="n">
        <f aca="false">C8*$C$13+(1-C8)</f>
        <v>0.92</v>
      </c>
      <c r="F8" s="19" t="n">
        <f aca="false">E8-D8</f>
        <v>0.8</v>
      </c>
      <c r="G8" s="19" t="n">
        <f aca="false">SQRT(((E8-D8)/2)^2+$C$13*(1-$C$13)/$C$14)</f>
        <v>0.400299887584296</v>
      </c>
      <c r="H8" s="19" t="n">
        <f aca="false">1.96*SQRT($C$13*(1-$C$13)/$C$14)</f>
        <v>0.0303641894342661</v>
      </c>
    </row>
    <row r="9" customFormat="false" ht="15" hidden="false" customHeight="false" outlineLevel="0" collapsed="false">
      <c r="B9" s="7" t="s">
        <v>44</v>
      </c>
      <c r="C9" s="18" t="n">
        <v>0.05</v>
      </c>
      <c r="D9" s="19" t="n">
        <f aca="false">C9*$C$13</f>
        <v>0.03</v>
      </c>
      <c r="E9" s="19" t="n">
        <f aca="false">C9*$C$13+(1-C9)</f>
        <v>0.98</v>
      </c>
      <c r="F9" s="19" t="n">
        <f aca="false">E9-D9</f>
        <v>0.95</v>
      </c>
      <c r="G9" s="19" t="n">
        <f aca="false">SQRT(((E9-D9)/2)^2+$C$13*(1-$C$13)/$C$14)</f>
        <v>0.47525256443285</v>
      </c>
      <c r="H9" s="19" t="n">
        <f aca="false">1.96*SQRT($C$13*(1-$C$13)/$C$14)</f>
        <v>0.0303641894342661</v>
      </c>
    </row>
    <row r="12" customFormat="false" ht="15" hidden="false" customHeight="false" outlineLevel="0" collapsed="false">
      <c r="B12" s="3" t="s">
        <v>45</v>
      </c>
    </row>
    <row r="13" customFormat="false" ht="15" hidden="false" customHeight="false" outlineLevel="0" collapsed="false">
      <c r="B13" s="7" t="s">
        <v>46</v>
      </c>
      <c r="C13" s="9" t="n">
        <v>0.6</v>
      </c>
    </row>
    <row r="14" customFormat="false" ht="15" hidden="false" customHeight="false" outlineLevel="0" collapsed="false">
      <c r="B14" s="7" t="s">
        <v>47</v>
      </c>
      <c r="C14" s="8" t="n">
        <v>1000</v>
      </c>
    </row>
    <row r="16" customFormat="false" ht="15" hidden="false" customHeight="false" outlineLevel="0" collapsed="false">
      <c r="B16" s="4" t="s">
        <v>48</v>
      </c>
      <c r="C16" s="4"/>
      <c r="D16" s="4"/>
      <c r="E16" s="4"/>
      <c r="F16" s="4"/>
      <c r="G16" s="4"/>
      <c r="H16" s="4"/>
    </row>
  </sheetData>
  <mergeCells count="2">
    <mergeCell ref="B3:H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</cols>
  <sheetData>
    <row r="2" customFormat="false" ht="17.35" hidden="false" customHeight="false" outlineLevel="0" collapsed="false">
      <c r="B2" s="1" t="s">
        <v>49</v>
      </c>
    </row>
    <row r="3" customFormat="false" ht="27.75" hidden="false" customHeight="true" outlineLevel="0" collapsed="false">
      <c r="B3" s="2" t="s">
        <v>50</v>
      </c>
      <c r="C3" s="2"/>
    </row>
    <row r="5" customFormat="false" ht="15" hidden="false" customHeight="false" outlineLevel="0" collapsed="false">
      <c r="B5" s="5" t="s">
        <v>4</v>
      </c>
      <c r="C5" s="6"/>
    </row>
    <row r="6" customFormat="false" ht="15" hidden="false" customHeight="false" outlineLevel="0" collapsed="false">
      <c r="B6" s="7" t="s">
        <v>51</v>
      </c>
      <c r="C6" s="8" t="n">
        <v>8000</v>
      </c>
    </row>
    <row r="7" customFormat="false" ht="15" hidden="false" customHeight="false" outlineLevel="0" collapsed="false">
      <c r="B7" s="7" t="s">
        <v>52</v>
      </c>
      <c r="C7" s="8" t="n">
        <v>2000</v>
      </c>
    </row>
    <row r="8" customFormat="false" ht="15" hidden="false" customHeight="false" outlineLevel="0" collapsed="false">
      <c r="B8" s="7" t="s">
        <v>53</v>
      </c>
      <c r="C8" s="9" t="n">
        <v>0.42</v>
      </c>
    </row>
    <row r="10" customFormat="false" ht="15" hidden="false" customHeight="false" outlineLevel="0" collapsed="false">
      <c r="B10" s="5" t="s">
        <v>54</v>
      </c>
      <c r="C10" s="6"/>
    </row>
    <row r="11" customFormat="false" ht="15" hidden="false" customHeight="false" outlineLevel="0" collapsed="false">
      <c r="B11" s="7" t="s">
        <v>35</v>
      </c>
      <c r="C11" s="10" t="n">
        <f aca="false">C7/C6</f>
        <v>0.25</v>
      </c>
    </row>
    <row r="12" customFormat="false" ht="15" hidden="false" customHeight="false" outlineLevel="0" collapsed="false">
      <c r="B12" s="7" t="s">
        <v>55</v>
      </c>
      <c r="C12" s="10" t="n">
        <f aca="false">C11*C8</f>
        <v>0.105</v>
      </c>
    </row>
    <row r="13" customFormat="false" ht="15" hidden="false" customHeight="false" outlineLevel="0" collapsed="false">
      <c r="B13" s="7" t="s">
        <v>56</v>
      </c>
      <c r="C13" s="10" t="n">
        <f aca="false">C11*C8+(1-C11)</f>
        <v>0.855</v>
      </c>
    </row>
    <row r="14" customFormat="false" ht="15" hidden="false" customHeight="false" outlineLevel="0" collapsed="false">
      <c r="B14" s="7" t="s">
        <v>38</v>
      </c>
      <c r="C14" s="10" t="n">
        <f aca="false">C13-C12</f>
        <v>0.75</v>
      </c>
    </row>
    <row r="15" customFormat="false" ht="15" hidden="false" customHeight="false" outlineLevel="0" collapsed="false">
      <c r="B15" s="7" t="s">
        <v>57</v>
      </c>
      <c r="C15" s="10" t="n">
        <f aca="false">(C12+C13)/2</f>
        <v>0.48</v>
      </c>
    </row>
    <row r="16" customFormat="false" ht="15" hidden="false" customHeight="false" outlineLevel="0" collapsed="false">
      <c r="B16" s="7" t="s">
        <v>58</v>
      </c>
      <c r="C16" s="10" t="n">
        <f aca="false">SQRT(C8*(1-C8)/C7)</f>
        <v>0.0110363037290571</v>
      </c>
    </row>
    <row r="17" customFormat="false" ht="15" hidden="false" customHeight="false" outlineLevel="0" collapsed="false">
      <c r="B17" s="12" t="s">
        <v>59</v>
      </c>
      <c r="C17" s="13" t="n">
        <f aca="false">SQRT((C14/2)^2+C16^2)</f>
        <v>0.375162364850207</v>
      </c>
    </row>
    <row r="19" customFormat="false" ht="54" hidden="false" customHeight="true" outlineLevel="0" collapsed="false">
      <c r="B19" s="2" t="s">
        <v>60</v>
      </c>
      <c r="C19" s="2"/>
    </row>
  </sheetData>
  <mergeCells count="2">
    <mergeCell ref="B3:C3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2026-08-12T20:08:38Z</dcterms:created>
  <dc:creator>openpyxl</dc:creator>
  <dc:description/>
  <dc:language>en-US</dc:language>
  <cp:lastModifiedBy/>
  <dcterms:modified xsi:type="dcterms:W3CDTF">2026-08-12T20:08:38Z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